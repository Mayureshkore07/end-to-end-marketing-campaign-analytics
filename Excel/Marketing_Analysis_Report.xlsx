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rketing_Campaign_Analysis\Excel\"/>
    </mc:Choice>
  </mc:AlternateContent>
  <xr:revisionPtr revIDLastSave="0" documentId="13_ncr:1_{ED597AB4-C199-4DDF-B01C-A78D6053806A}" xr6:coauthVersionLast="47" xr6:coauthVersionMax="47" xr10:uidLastSave="{00000000-0000-0000-0000-000000000000}"/>
  <bookViews>
    <workbookView xWindow="-120" yWindow="-120" windowWidth="29040" windowHeight="15720" firstSheet="2" activeTab="1" xr2:uid="{902F502F-FD42-42B0-A35F-C33A92A1EA6B}"/>
  </bookViews>
  <sheets>
    <sheet name="Pivot_Platform_Revenue" sheetId="4" r:id="rId1"/>
    <sheet name="Pivot_Campaign_Revenue" sheetId="5" r:id="rId2"/>
    <sheet name="Executive_Dashboard" sheetId="9" r:id="rId3"/>
    <sheet name="Pivot_ROAS_Platform" sheetId="7" r:id="rId4"/>
    <sheet name="Pivot_Region_Revenue" sheetId="8" r:id="rId5"/>
    <sheet name="Revenue_By_Target_Audience" sheetId="10" r:id="rId6"/>
    <sheet name="Raw_Data" sheetId="3" r:id="rId7"/>
  </sheets>
  <definedNames>
    <definedName name="ExternalData_2" localSheetId="6" hidden="1">Raw_Data!$A$1:$R$764</definedName>
  </definedNames>
  <calcPr calcId="191029"/>
  <pivotCaches>
    <pivotCache cacheId="3" r:id="rId8"/>
    <pivotCache cacheId="16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9" l="1"/>
  <c r="B8" i="9"/>
  <c r="B7" i="9"/>
  <c r="B6" i="9"/>
  <c r="B5" i="9"/>
  <c r="B4" i="9"/>
  <c r="B3" i="9"/>
  <c r="B2" i="9"/>
  <c r="B1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37E89E-B99B-4A4D-9A5F-6313ECBC1D90}" keepAlive="1" name="Query - marketing_campaign_clean" description="Connection to the 'marketing_campaign_clean' query in the workbook." type="5" refreshedVersion="0" background="1">
    <dbPr connection="Provider=Microsoft.Mashup.OleDb.1;Data Source=$Workbook$;Location=marketing_campaign_clean;Extended Properties=&quot;&quot;" command="SELECT * FROM [marketing_campaign_clean]"/>
  </connection>
  <connection id="2" xr16:uid="{B347296F-7CAC-4331-BBB1-68408A995B15}" keepAlive="1" name="Query - marketing_campaign_clean (2)" description="Connection to the 'marketing_campaign_clean (2)' query in the workbook." type="5" refreshedVersion="7" background="1" saveData="1">
    <dbPr connection="Provider=Microsoft.Mashup.OleDb.1;Data Source=$Workbook$;Location=&quot;marketing_campaign_clean (2)&quot;;Extended Properties=&quot;&quot;" command="SELECT * FROM [marketing_campaign_clean (2)]"/>
  </connection>
</connections>
</file>

<file path=xl/sharedStrings.xml><?xml version="1.0" encoding="utf-8"?>
<sst xmlns="http://schemas.openxmlformats.org/spreadsheetml/2006/main" count="3881" uniqueCount="55">
  <si>
    <t>Date</t>
  </si>
  <si>
    <t>CampaignID</t>
  </si>
  <si>
    <t>CampaignName</t>
  </si>
  <si>
    <t>Platform</t>
  </si>
  <si>
    <t>TargetAudience</t>
  </si>
  <si>
    <t>Impressions</t>
  </si>
  <si>
    <t>Clicks</t>
  </si>
  <si>
    <t>Leads</t>
  </si>
  <si>
    <t>Applications</t>
  </si>
  <si>
    <t>Enrollments</t>
  </si>
  <si>
    <t>Region</t>
  </si>
  <si>
    <t>CTR</t>
  </si>
  <si>
    <t>CPC</t>
  </si>
  <si>
    <t>Conversion_Rate</t>
  </si>
  <si>
    <t>CPA</t>
  </si>
  <si>
    <t>ROAS</t>
  </si>
  <si>
    <t>AD004</t>
  </si>
  <si>
    <t>Hackathon</t>
  </si>
  <si>
    <t>YouTube</t>
  </si>
  <si>
    <t>West India</t>
  </si>
  <si>
    <t>North India</t>
  </si>
  <si>
    <t>East India</t>
  </si>
  <si>
    <t>Pan India</t>
  </si>
  <si>
    <t>South India</t>
  </si>
  <si>
    <t>AD001</t>
  </si>
  <si>
    <t>UG Admission</t>
  </si>
  <si>
    <t>Google Ads</t>
  </si>
  <si>
    <t>AD005</t>
  </si>
  <si>
    <t>Semester Exchange Program</t>
  </si>
  <si>
    <t>Instagram</t>
  </si>
  <si>
    <t>AD003</t>
  </si>
  <si>
    <t>Placements</t>
  </si>
  <si>
    <t>LinkedIn</t>
  </si>
  <si>
    <t>AD002</t>
  </si>
  <si>
    <t>MBA Admission</t>
  </si>
  <si>
    <t>Facebook</t>
  </si>
  <si>
    <t>Cost (₹)</t>
  </si>
  <si>
    <t>Revenue (₹)</t>
  </si>
  <si>
    <t>17–21 Age</t>
  </si>
  <si>
    <t>22–27 Age</t>
  </si>
  <si>
    <t>25–35 Age</t>
  </si>
  <si>
    <t>21–35 Age</t>
  </si>
  <si>
    <t>Row Labels</t>
  </si>
  <si>
    <t>Grand Total</t>
  </si>
  <si>
    <t>Sum of Revenue (₹)</t>
  </si>
  <si>
    <t>Average of ROAS</t>
  </si>
  <si>
    <t>Total Revenue</t>
  </si>
  <si>
    <t>Total Cost</t>
  </si>
  <si>
    <t>Total Clicks</t>
  </si>
  <si>
    <t>Total Leads</t>
  </si>
  <si>
    <t>Total Enrollments</t>
  </si>
  <si>
    <t>Avg CTR</t>
  </si>
  <si>
    <t>Avg CPC</t>
  </si>
  <si>
    <t>Avg CPA</t>
  </si>
  <si>
    <t>Avg ROAS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</si>
</sst>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[Marketing_Analysis_Report.xlsx]Pivot_Platform_Revenue!Clustered Column Chart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by Platform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Pivot_Platform_Revenue!$B$3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Pivot_Platform_Revenue!$A$4:$A$9</c:f>
              <c:strCache>
                <c:ptCount val="5"/>
                <c:pt idx="0">
                  <c:v>Google Ads</c:v>
                </c:pt>
                <c:pt idx="1">
                  <c:v>Facebook</c:v>
                </c:pt>
                <c:pt idx="2">
                  <c:v>LinkedIn</c:v>
                </c:pt>
                <c:pt idx="3">
                  <c:v>Instagram</c:v>
                </c:pt>
                <c:pt idx="4">
                  <c:v>YouTube</c:v>
                </c:pt>
              </c:strCache>
            </c:strRef>
          </c:cat>
          <c:val>
            <c:numRef>
              <c:f>Pivot_Platform_Revenue!$B$4:$B$9</c:f>
              <c:numCache>
                <c:formatCode>"₹"\ #,##0</c:formatCode>
                <c:ptCount val="5"/>
                <c:pt idx="0">
                  <c:v>531973533.87999988</c:v>
                </c:pt>
                <c:pt idx="1">
                  <c:v>517275867.83000022</c:v>
                </c:pt>
                <c:pt idx="2">
                  <c:v>464609915.19000012</c:v>
                </c:pt>
                <c:pt idx="3">
                  <c:v>414974739.57000029</c:v>
                </c:pt>
                <c:pt idx="4">
                  <c:v>236628518.72999999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60-4EA5-8033-2678CA637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00366991"/>
        <c:axId val="900363663"/>
      </c:barChart>
      <c:catAx>
        <c:axId val="900366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363663"/>
        <c:crosses val="autoZero"/>
        <c:auto val="1"/>
        <c:lblAlgn val="ctr"/>
        <c:lblOffset val="100"/>
        <c:noMultiLvlLbl val="0"/>
      </c:catAx>
      <c:valAx>
        <c:axId val="90036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366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[Marketing_Analysis_Report.xlsx]Pivot_Campaign_Revenue!PivotTable2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Total Revenue By Campaign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Pivot_Campaign_Revenue!$B$3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Pivot_Campaign_Revenue!$A$4:$A$9</c:f>
              <c:strCache>
                <c:ptCount val="5"/>
                <c:pt idx="0">
                  <c:v>UG Admission</c:v>
                </c:pt>
                <c:pt idx="1">
                  <c:v>MBA Admission</c:v>
                </c:pt>
                <c:pt idx="2">
                  <c:v>Placements</c:v>
                </c:pt>
                <c:pt idx="3">
                  <c:v>Semester Exchange Program</c:v>
                </c:pt>
                <c:pt idx="4">
                  <c:v>Hackathon</c:v>
                </c:pt>
              </c:strCache>
            </c:strRef>
          </c:cat>
          <c:val>
            <c:numRef>
              <c:f>Pivot_Campaign_Revenue!$B$4:$B$9</c:f>
              <c:numCache>
                <c:formatCode>"₹"\ #,##0</c:formatCode>
                <c:ptCount val="5"/>
                <c:pt idx="0">
                  <c:v>531973533.87999988</c:v>
                </c:pt>
                <c:pt idx="1">
                  <c:v>517275867.83000022</c:v>
                </c:pt>
                <c:pt idx="2">
                  <c:v>464609915.19000012</c:v>
                </c:pt>
                <c:pt idx="3">
                  <c:v>414974739.57000029</c:v>
                </c:pt>
                <c:pt idx="4">
                  <c:v>236628518.72999999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60-4A60-B9E2-3E6C53B61E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4356431"/>
        <c:axId val="904354767"/>
      </c:barChart>
      <c:catAx>
        <c:axId val="904356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354767"/>
        <c:crosses val="autoZero"/>
        <c:auto val="1"/>
        <c:lblAlgn val="ctr"/>
        <c:lblOffset val="100"/>
        <c:noMultiLvlLbl val="0"/>
      </c:catAx>
      <c:valAx>
        <c:axId val="90435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356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[Marketing_Analysis_Report.xlsx]Pivot_ROAS_Platform!PivotTable3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ROAS_Platform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Pivot_ROAS_Platform!$B$3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Pivot_ROAS_Platform!$A$4:$A$9</c:f>
              <c:strCache>
                <c:ptCount val="5"/>
                <c:pt idx="0">
                  <c:v>Google Ads</c:v>
                </c:pt>
                <c:pt idx="1">
                  <c:v>Facebook</c:v>
                </c:pt>
                <c:pt idx="2">
                  <c:v>Instagram</c:v>
                </c:pt>
                <c:pt idx="3">
                  <c:v>YouTube</c:v>
                </c:pt>
                <c:pt idx="4">
                  <c:v>LinkedIn</c:v>
                </c:pt>
              </c:strCache>
            </c:strRef>
          </c:cat>
          <c:val>
            <c:numRef>
              <c:f>Pivot_ROAS_Platform!$B$4:$B$9</c:f>
              <c:numCache>
                <c:formatCode>General</c:formatCode>
                <c:ptCount val="5"/>
                <c:pt idx="0">
                  <c:v>24.504882839346024</c:v>
                </c:pt>
                <c:pt idx="1">
                  <c:v>24.586625186909551</c:v>
                </c:pt>
                <c:pt idx="2">
                  <c:v>25.148517304494316</c:v>
                </c:pt>
                <c:pt idx="3">
                  <c:v>25.795047251984485</c:v>
                </c:pt>
                <c:pt idx="4">
                  <c:v>26.616495707607349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88-4B83-9604-E590D9269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050869919"/>
        <c:axId val="937146223"/>
      </c:barChart>
      <c:catAx>
        <c:axId val="1050869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146223"/>
        <c:crosses val="autoZero"/>
        <c:auto val="1"/>
        <c:lblAlgn val="ctr"/>
        <c:lblOffset val="100"/>
        <c:noMultiLvlLbl val="0"/>
      </c:catAx>
      <c:valAx>
        <c:axId val="937146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869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[Marketing_Analysis_Report.xlsx]Pivot_Region_Revenue!PivotTable4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Total_Revenue</a:t>
            </a:r>
            <a:r>
              <a:rPr lang="en-IN" baseline="0"/>
              <a:t>_By_Region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Pivot_Region_Revenue!$B$3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Pivot_Region_Revenue!$A$4:$A$9</c:f>
              <c:strCache>
                <c:ptCount val="5"/>
                <c:pt idx="0">
                  <c:v>Pan India</c:v>
                </c:pt>
                <c:pt idx="1">
                  <c:v>North India</c:v>
                </c:pt>
                <c:pt idx="2">
                  <c:v>West India</c:v>
                </c:pt>
                <c:pt idx="3">
                  <c:v>East India</c:v>
                </c:pt>
                <c:pt idx="4">
                  <c:v>South India</c:v>
                </c:pt>
              </c:strCache>
            </c:strRef>
          </c:cat>
          <c:val>
            <c:numRef>
              <c:f>Pivot_Region_Revenue!$B$4:$B$9</c:f>
              <c:numCache>
                <c:formatCode>"₹"\ #,##0</c:formatCode>
                <c:ptCount val="5"/>
                <c:pt idx="0">
                  <c:v>470504578.66999996</c:v>
                </c:pt>
                <c:pt idx="1">
                  <c:v>465323143.85999995</c:v>
                </c:pt>
                <c:pt idx="2">
                  <c:v>444701318.09999996</c:v>
                </c:pt>
                <c:pt idx="3">
                  <c:v>407432524.49000013</c:v>
                </c:pt>
                <c:pt idx="4">
                  <c:v>377501010.07999992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9F-4516-BF25-36601116A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7587711"/>
        <c:axId val="937588543"/>
      </c:barChart>
      <c:catAx>
        <c:axId val="937587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588543"/>
        <c:crosses val="autoZero"/>
        <c:auto val="1"/>
        <c:lblAlgn val="ctr"/>
        <c:lblOffset val="100"/>
        <c:noMultiLvlLbl val="0"/>
      </c:catAx>
      <c:valAx>
        <c:axId val="937588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587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[Marketing_Analysis_Report.xlsx]Revenue_By_Target_Audience!PivotTable6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Total_Revenue_By_Target_Audience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Revenue_By_Target_Audience!$B$3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Revenue_By_Target_Audience!$A$4:$A$8</c:f>
              <c:strCache>
                <c:ptCount val="4"/>
                <c:pt idx="0">
                  <c:v>17–21 Age</c:v>
                </c:pt>
                <c:pt idx="1">
                  <c:v>21–35 Age</c:v>
                </c:pt>
                <c:pt idx="2">
                  <c:v>22–27 Age</c:v>
                </c:pt>
                <c:pt idx="3">
                  <c:v>25–35 Age</c:v>
                </c:pt>
              </c:strCache>
            </c:strRef>
          </c:cat>
          <c:val>
            <c:numRef>
              <c:f>Revenue_By_Target_Audience!$B$4:$B$8</c:f>
              <c:numCache>
                <c:formatCode>"₹"\ #,##0</c:formatCode>
                <c:ptCount val="4"/>
                <c:pt idx="0">
                  <c:v>903901536.80999994</c:v>
                </c:pt>
                <c:pt idx="1">
                  <c:v>517275867.83000022</c:v>
                </c:pt>
                <c:pt idx="2">
                  <c:v>402365828.31000012</c:v>
                </c:pt>
                <c:pt idx="3">
                  <c:v>341919342.25000006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49-4054-9238-C8F21D1A0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0364495"/>
        <c:axId val="908133071"/>
      </c:barChart>
      <c:catAx>
        <c:axId val="900364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133071"/>
        <c:crosses val="autoZero"/>
        <c:auto val="1"/>
        <c:lblAlgn val="ctr"/>
        <c:lblOffset val="100"/>
        <c:noMultiLvlLbl val="0"/>
      </c:catAx>
      <c:valAx>
        <c:axId val="908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364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100745</xdr:colOff>
      <xdr:row>10</xdr:row>
      <xdr:rowOff>174014</xdr:rowOff>
    </xdr:from>
    <xdr:to>
      <xdr:col>7</xdr:col>
      <xdr:colOff>380827</xdr:colOff>
      <xdr:row>27</xdr:row>
      <xdr:rowOff>119794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A59121-D8C3-49CC-9BC6-7AA9364CFA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117626</xdr:rowOff>
    </xdr:from>
    <xdr:to>
      <xdr:col>4</xdr:col>
      <xdr:colOff>347598</xdr:colOff>
      <xdr:row>24</xdr:row>
      <xdr:rowOff>193827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5162C4-B813-4386-AB09-F9274DE376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514350</xdr:colOff>
      <xdr:row>11</xdr:row>
      <xdr:rowOff>100012</xdr:rowOff>
    </xdr:from>
    <xdr:to>
      <xdr:col>7</xdr:col>
      <xdr:colOff>333375</xdr:colOff>
      <xdr:row>25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4B0048-6C5F-4CE8-9F29-DF733EFC24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371475</xdr:colOff>
      <xdr:row>12</xdr:row>
      <xdr:rowOff>23812</xdr:rowOff>
    </xdr:from>
    <xdr:to>
      <xdr:col>6</xdr:col>
      <xdr:colOff>381000</xdr:colOff>
      <xdr:row>26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CE3658-60C8-4465-B425-42A641CA84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168089</xdr:rowOff>
    </xdr:from>
    <xdr:to>
      <xdr:col>8</xdr:col>
      <xdr:colOff>84045</xdr:colOff>
      <xdr:row>25</xdr:row>
      <xdr:rowOff>121396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A230B0-990B-4D65-81E1-D55E4D1100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66.541182291665" createdVersion="7" refreshedVersion="7" minRefreshableVersion="3" recordCount="763" xr:uid="{4A833DDA-898F-4B49-B543-DB5268D6AB74}">
  <cacheSource type="worksheet">
    <worksheetSource ref="A1:R764" sheet="Raw_Data"/>
  </cacheSource>
  <cacheFields count="18">
    <cacheField name="Date" numFmtId="14">
      <sharedItems containsSemiMixedTypes="0" containsNonDate="0" containsDate="1" containsString="0" minDate="2024-01-01T00:00:00" maxDate="2025-11-01T00:00:00"/>
    </cacheField>
    <cacheField name="CampaignID" numFmtId="0">
      <sharedItems/>
    </cacheField>
    <cacheField name="CampaignName" numFmtId="0">
      <sharedItems count="5">
        <s v="Hackathon"/>
        <s v="UG Admission"/>
        <s v="Semester Exchange Program"/>
        <s v="Placements"/>
        <s v="MBA Admission"/>
      </sharedItems>
    </cacheField>
    <cacheField name="Platform" numFmtId="0">
      <sharedItems count="5">
        <s v="YouTube"/>
        <s v="Google Ads"/>
        <s v="Instagram"/>
        <s v="LinkedIn"/>
        <s v="Facebook"/>
      </sharedItems>
    </cacheField>
    <cacheField name="TargetAudience" numFmtId="0">
      <sharedItems/>
    </cacheField>
    <cacheField name="Impressions" numFmtId="0">
      <sharedItems containsSemiMixedTypes="0" containsString="0" containsNumber="1" containsInteger="1" minValue="50267" maxValue="299910"/>
    </cacheField>
    <cacheField name="Clicks" numFmtId="0">
      <sharedItems containsSemiMixedTypes="0" containsString="0" containsNumber="1" containsInteger="1" minValue="1674" maxValue="23654"/>
    </cacheField>
    <cacheField name="Leads" numFmtId="0">
      <sharedItems containsSemiMixedTypes="0" containsString="0" containsNumber="1" containsInteger="1" minValue="327" maxValue="5219"/>
    </cacheField>
    <cacheField name="Applications" numFmtId="0">
      <sharedItems containsSemiMixedTypes="0" containsString="0" containsNumber="1" containsInteger="1" minValue="159" maxValue="3112"/>
    </cacheField>
    <cacheField name="Enrollments" numFmtId="0">
      <sharedItems containsSemiMixedTypes="0" containsString="0" containsNumber="1" containsInteger="1" minValue="73" maxValue="1664"/>
    </cacheField>
    <cacheField name="Cost (₹)" numFmtId="0">
      <sharedItems containsSemiMixedTypes="0" containsString="0" containsNumber="1" minValue="22689.88" maxValue="288391.33"/>
    </cacheField>
    <cacheField name="Revenue (₹)" numFmtId="0">
      <sharedItems containsSemiMixedTypes="0" containsString="0" containsNumber="1" minValue="364638.44" maxValue="11577295.93"/>
    </cacheField>
    <cacheField name="Region" numFmtId="0">
      <sharedItems/>
    </cacheField>
    <cacheField name="CTR" numFmtId="0">
      <sharedItems containsSemiMixedTypes="0" containsString="0" containsNumber="1" minValue="3.0010523802364757" maxValue="7.9946627427017996"/>
    </cacheField>
    <cacheField name="CPC" numFmtId="0">
      <sharedItems containsSemiMixedTypes="0" containsString="0" containsNumber="1" minValue="5.105494626895652" maxValue="33.084940151074953"/>
    </cacheField>
    <cacheField name="Conversion_Rate" numFmtId="0">
      <sharedItems containsSemiMixedTypes="0" containsString="0" containsNumber="1" minValue="15.054070792244294" maxValue="24.994573475146517"/>
    </cacheField>
    <cacheField name="CPA" numFmtId="0">
      <sharedItems containsSemiMixedTypes="0" containsString="0" containsNumber="1" minValue="78.028257866462013" maxValue="927.34824104234519"/>
    </cacheField>
    <cacheField name="ROAS" numFmtId="0">
      <sharedItems containsSemiMixedTypes="0" containsString="0" containsNumber="1" minValue="5.087166476018437" maxValue="91.3906289063104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66.743178356483" createdVersion="7" refreshedVersion="7" minRefreshableVersion="3" recordCount="763" xr:uid="{134E86A5-D720-4B45-88C2-2AABA10C7250}">
  <cacheSource type="worksheet">
    <worksheetSource name="marketing_campaign_clean__2"/>
  </cacheSource>
  <cacheFields count="18">
    <cacheField name="Date" numFmtId="14">
      <sharedItems containsSemiMixedTypes="0" containsNonDate="0" containsDate="1" containsString="0" minDate="2024-01-01T00:00:00" maxDate="2025-11-01T00:00:00"/>
    </cacheField>
    <cacheField name="CampaignID" numFmtId="0">
      <sharedItems/>
    </cacheField>
    <cacheField name="CampaignName" numFmtId="0">
      <sharedItems count="5">
        <s v="Hackathon"/>
        <s v="UG Admission"/>
        <s v="Semester Exchange Program"/>
        <s v="Placements"/>
        <s v="MBA Admission"/>
      </sharedItems>
    </cacheField>
    <cacheField name="Platform" numFmtId="0">
      <sharedItems count="5">
        <s v="YouTube"/>
        <s v="Google Ads"/>
        <s v="Instagram"/>
        <s v="LinkedIn"/>
        <s v="Facebook"/>
      </sharedItems>
    </cacheField>
    <cacheField name="TargetAudience" numFmtId="0">
      <sharedItems count="4">
        <s v="17–21 Age"/>
        <s v="22–27 Age"/>
        <s v="25–35 Age"/>
        <s v="21–35 Age"/>
      </sharedItems>
    </cacheField>
    <cacheField name="Impressions" numFmtId="0">
      <sharedItems containsSemiMixedTypes="0" containsString="0" containsNumber="1" containsInteger="1" minValue="50267" maxValue="299910"/>
    </cacheField>
    <cacheField name="Clicks" numFmtId="0">
      <sharedItems containsSemiMixedTypes="0" containsString="0" containsNumber="1" containsInteger="1" minValue="1674" maxValue="23654"/>
    </cacheField>
    <cacheField name="Leads" numFmtId="0">
      <sharedItems containsSemiMixedTypes="0" containsString="0" containsNumber="1" containsInteger="1" minValue="327" maxValue="5219"/>
    </cacheField>
    <cacheField name="Applications" numFmtId="0">
      <sharedItems containsSemiMixedTypes="0" containsString="0" containsNumber="1" containsInteger="1" minValue="159" maxValue="3112"/>
    </cacheField>
    <cacheField name="Enrollments" numFmtId="0">
      <sharedItems containsSemiMixedTypes="0" containsString="0" containsNumber="1" containsInteger="1" minValue="73" maxValue="1664"/>
    </cacheField>
    <cacheField name="Cost (₹)" numFmtId="0">
      <sharedItems containsSemiMixedTypes="0" containsString="0" containsNumber="1" minValue="22689.88" maxValue="288391.33"/>
    </cacheField>
    <cacheField name="Revenue (₹)" numFmtId="0">
      <sharedItems containsSemiMixedTypes="0" containsString="0" containsNumber="1" minValue="364638.44" maxValue="11577295.93" count="763">
        <n v="4615838.04"/>
        <n v="3513169.9"/>
        <n v="1051924.8799999999"/>
        <n v="3850639.56"/>
        <n v="1543262.86"/>
        <n v="1717163.91"/>
        <n v="2598807.52"/>
        <n v="2558956.35"/>
        <n v="4265725.03"/>
        <n v="3012430.04"/>
        <n v="1723113.84"/>
        <n v="3080880.49"/>
        <n v="1495426.01"/>
        <n v="2107164.39"/>
        <n v="2174797.75"/>
        <n v="3598637.63"/>
        <n v="1540858.24"/>
        <n v="1134934.72"/>
        <n v="2166219.39"/>
        <n v="2739137.65"/>
        <n v="2041493.6"/>
        <n v="2707316.61"/>
        <n v="1332250.53"/>
        <n v="4318918.7"/>
        <n v="4449882.8899999997"/>
        <n v="2959111.96"/>
        <n v="6571498.9500000002"/>
        <n v="2606824.7599999998"/>
        <n v="2170310.94"/>
        <n v="4429720.09"/>
        <n v="3579677.63"/>
        <n v="2698691.68"/>
        <n v="1069477.6599999999"/>
        <n v="868489.67"/>
        <n v="5851415.0499999998"/>
        <n v="5279956.6399999997"/>
        <n v="3172503.59"/>
        <n v="2806226.91"/>
        <n v="3424734.79"/>
        <n v="364638.44"/>
        <n v="2007650.15"/>
        <n v="3766197.11"/>
        <n v="3779197.39"/>
        <n v="2747864.33"/>
        <n v="2145764.4700000002"/>
        <n v="1990223.55"/>
        <n v="3920124.36"/>
        <n v="3043168.56"/>
        <n v="4143706.82"/>
        <n v="3242544.96"/>
        <n v="1965140.43"/>
        <n v="2447521.69"/>
        <n v="3931415.84"/>
        <n v="1729748.62"/>
        <n v="1623225.67"/>
        <n v="1095170.8600000001"/>
        <n v="1343595.62"/>
        <n v="486883.69"/>
        <n v="4174012.5"/>
        <n v="2704688.17"/>
        <n v="2067523.93"/>
        <n v="5523179.9500000002"/>
        <n v="4167141.49"/>
        <n v="2300981.91"/>
        <n v="2633312.2000000002"/>
        <n v="2908345.21"/>
        <n v="3527269.49"/>
        <n v="737803.26"/>
        <n v="1892177.59"/>
        <n v="923164.11"/>
        <n v="2303108.0099999998"/>
        <n v="2091662.03"/>
        <n v="2398363.29"/>
        <n v="1655474.48"/>
        <n v="644765.61"/>
        <n v="1463624.77"/>
        <n v="646246.86"/>
        <n v="1454477.2"/>
        <n v="2536804.91"/>
        <n v="3964941.02"/>
        <n v="1018845.71"/>
        <n v="4063881.15"/>
        <n v="2305973.39"/>
        <n v="2066586.58"/>
        <n v="976767.04"/>
        <n v="2203003.63"/>
        <n v="2268459.2400000002"/>
        <n v="2016292.77"/>
        <n v="1344335.07"/>
        <n v="5847270.2300000004"/>
        <n v="2895845.33"/>
        <n v="1034342.01"/>
        <n v="3162278.82"/>
        <n v="1580107.16"/>
        <n v="4671783.2"/>
        <n v="1293768.1399999999"/>
        <n v="1915389.82"/>
        <n v="4524608.51"/>
        <n v="3738989.85"/>
        <n v="2119680.17"/>
        <n v="1845721.68"/>
        <n v="2663779.71"/>
        <n v="5350895.5999999996"/>
        <n v="1242049.05"/>
        <n v="6091993.9299999997"/>
        <n v="513709.91"/>
        <n v="2921642.34"/>
        <n v="1660035.68"/>
        <n v="1100080.07"/>
        <n v="4785145.21"/>
        <n v="6173759.6799999997"/>
        <n v="3464551.93"/>
        <n v="954211.72"/>
        <n v="569195.34"/>
        <n v="838838.11"/>
        <n v="2850575.87"/>
        <n v="960812.07"/>
        <n v="1323997.7"/>
        <n v="2780010.07"/>
        <n v="1161334.2"/>
        <n v="2288813.48"/>
        <n v="1140875.76"/>
        <n v="2637713.85"/>
        <n v="4246093.25"/>
        <n v="584662.54"/>
        <n v="3892837.87"/>
        <n v="3018743.31"/>
        <n v="5156798.93"/>
        <n v="3872314.53"/>
        <n v="5411518.9299999997"/>
        <n v="1500707.12"/>
        <n v="2085502.25"/>
        <n v="2522440.58"/>
        <n v="7087676.71"/>
        <n v="2398171.83"/>
        <n v="3431908.04"/>
        <n v="1314021.3700000001"/>
        <n v="2387204.39"/>
        <n v="4025666.51"/>
        <n v="893338.11"/>
        <n v="4999994.7699999996"/>
        <n v="1291459.42"/>
        <n v="4718406.5599999996"/>
        <n v="3804206.8"/>
        <n v="2219931.4900000002"/>
        <n v="1765941.04"/>
        <n v="1832026.4"/>
        <n v="4686283.68"/>
        <n v="2674523.87"/>
        <n v="1939708.81"/>
        <n v="2235498.12"/>
        <n v="751942.31"/>
        <n v="3279195.9"/>
        <n v="721471.98"/>
        <n v="4142036.47"/>
        <n v="6279650.6100000003"/>
        <n v="5166291.92"/>
        <n v="2403528.2200000002"/>
        <n v="562987.04"/>
        <n v="1374432.65"/>
        <n v="3712872.07"/>
        <n v="2837406.55"/>
        <n v="1299358.1000000001"/>
        <n v="2218829.9500000002"/>
        <n v="2362547.8199999998"/>
        <n v="1912334.83"/>
        <n v="1581964.16"/>
        <n v="751735"/>
        <n v="2700293.92"/>
        <n v="3980786.43"/>
        <n v="1218839.81"/>
        <n v="3178344.45"/>
        <n v="5715057.0800000001"/>
        <n v="3749676.3"/>
        <n v="1563740.44"/>
        <n v="6159533.6299999999"/>
        <n v="520844.26"/>
        <n v="2689431.95"/>
        <n v="1300602.6299999999"/>
        <n v="3668863.75"/>
        <n v="4551261.95"/>
        <n v="2297719.94"/>
        <n v="2774452.44"/>
        <n v="4242470.3600000003"/>
        <n v="6633449.5"/>
        <n v="2892185.32"/>
        <n v="1131479.57"/>
        <n v="1666242.27"/>
        <n v="4701884.7"/>
        <n v="1886619.18"/>
        <n v="1624992.95"/>
        <n v="3146851.09"/>
        <n v="2736847.83"/>
        <n v="2150210.5099999998"/>
        <n v="817559.85"/>
        <n v="2683477.69"/>
        <n v="7943328.0199999996"/>
        <n v="1916053.2"/>
        <n v="2427243.89"/>
        <n v="5214044.04"/>
        <n v="4343632.79"/>
        <n v="5500364.7000000002"/>
        <n v="1322998.03"/>
        <n v="2655170.75"/>
        <n v="2590998.61"/>
        <n v="4751275.42"/>
        <n v="3546992.04"/>
        <n v="1158159.81"/>
        <n v="3774177.24"/>
        <n v="2571768.14"/>
        <n v="7154154.9100000001"/>
        <n v="920163.38"/>
        <n v="4208262.5199999996"/>
        <n v="2524973.42"/>
        <n v="3348574.79"/>
        <n v="1605697.96"/>
        <n v="2013575.82"/>
        <n v="1512057.86"/>
        <n v="3760809.01"/>
        <n v="4864239.68"/>
        <n v="3498930.88"/>
        <n v="3729596.77"/>
        <n v="1931400.27"/>
        <n v="567612.72"/>
        <n v="1134386.5"/>
        <n v="538637.71"/>
        <n v="703721.34"/>
        <n v="4185547.5"/>
        <n v="4032427.25"/>
        <n v="1996665.29"/>
        <n v="4364604.8499999996"/>
        <n v="1607665.33"/>
        <n v="6675094.5599999996"/>
        <n v="3218555.65"/>
        <n v="2501009.92"/>
        <n v="8859616.1300000008"/>
        <n v="3333666.45"/>
        <n v="2996388.37"/>
        <n v="1525793.32"/>
        <n v="1358545.74"/>
        <n v="3914237"/>
        <n v="1991695.9"/>
        <n v="4957159.97"/>
        <n v="1449676.75"/>
        <n v="1063428.31"/>
        <n v="2363533.5"/>
        <n v="1926663.81"/>
        <n v="2509324.06"/>
        <n v="3345576.76"/>
        <n v="7709099.5499999998"/>
        <n v="514275.89"/>
        <n v="638055.97"/>
        <n v="1085319.27"/>
        <n v="1634560.79"/>
        <n v="1813996.79"/>
        <n v="1992669.9"/>
        <n v="2895011.75"/>
        <n v="404235.06"/>
        <n v="1270694.45"/>
        <n v="3062511.38"/>
        <n v="1016705.47"/>
        <n v="2873827.39"/>
        <n v="5811867.04"/>
        <n v="1262103.52"/>
        <n v="8479988.8300000001"/>
        <n v="3554173.67"/>
        <n v="1950084.07"/>
        <n v="1051156.08"/>
        <n v="2808713.52"/>
        <n v="3267340.14"/>
        <n v="1553036.39"/>
        <n v="1995132.12"/>
        <n v="4424382.49"/>
        <n v="1510026.78"/>
        <n v="3876986.66"/>
        <n v="3446317.81"/>
        <n v="2831000.7"/>
        <n v="3311850.86"/>
        <n v="2071543.89"/>
        <n v="4151995.55"/>
        <n v="6148023.7000000002"/>
        <n v="3329055.06"/>
        <n v="774444.94"/>
        <n v="4819731.1399999997"/>
        <n v="5018704.7300000004"/>
        <n v="5342189.13"/>
        <n v="567663.31000000006"/>
        <n v="3796435.52"/>
        <n v="1816349.21"/>
        <n v="1755445.01"/>
        <n v="5574248.1399999997"/>
        <n v="1029954.06"/>
        <n v="3360100.1"/>
        <n v="1737263.59"/>
        <n v="7580435.5999999996"/>
        <n v="5312696.4800000004"/>
        <n v="2172105.58"/>
        <n v="6237099.54"/>
        <n v="1803614.19"/>
        <n v="1248957.4099999999"/>
        <n v="1316066.43"/>
        <n v="1195976.69"/>
        <n v="1404431.2"/>
        <n v="7284646.5"/>
        <n v="2196952.4"/>
        <n v="2063936.01"/>
        <n v="3907589.22"/>
        <n v="5373759.0999999996"/>
        <n v="988491.69"/>
        <n v="7254951.4199999999"/>
        <n v="2537615.16"/>
        <n v="2142106.16"/>
        <n v="806657.5"/>
        <n v="3867146.21"/>
        <n v="517443.61"/>
        <n v="4879841.2300000004"/>
        <n v="812926.32"/>
        <n v="1090015.6399999999"/>
        <n v="10200618.609999999"/>
        <n v="618470.9"/>
        <n v="1263776.46"/>
        <n v="1718164.73"/>
        <n v="2190322.56"/>
        <n v="1765141.51"/>
        <n v="2070391.74"/>
        <n v="2220089.2400000002"/>
        <n v="2265577.65"/>
        <n v="2323390.4500000002"/>
        <n v="1489069.41"/>
        <n v="1474440.35"/>
        <n v="7439846.2800000003"/>
        <n v="7305475.8899999997"/>
        <n v="1570056.62"/>
        <n v="4613730.38"/>
        <n v="1911053.53"/>
        <n v="550296.55000000005"/>
        <n v="955852.67"/>
        <n v="3644883.8"/>
        <n v="1706756.01"/>
        <n v="3926372.14"/>
        <n v="2298553.7799999998"/>
        <n v="1710667.68"/>
        <n v="3330514.34"/>
        <n v="2443483.4700000002"/>
        <n v="865326.9"/>
        <n v="1654751.42"/>
        <n v="1888857.04"/>
        <n v="1826451.72"/>
        <n v="1214180.74"/>
        <n v="1522257.6"/>
        <n v="7037867.2699999996"/>
        <n v="988512.45"/>
        <n v="578094.77"/>
        <n v="4202662.82"/>
        <n v="4620820.8099999996"/>
        <n v="1979290.65"/>
        <n v="2146534.46"/>
        <n v="2003387.48"/>
        <n v="1260959.52"/>
        <n v="1366324.42"/>
        <n v="1552232.36"/>
        <n v="827192.52"/>
        <n v="2487761.4"/>
        <n v="895881.61"/>
        <n v="2080724.29"/>
        <n v="3459761.8"/>
        <n v="1949668.5"/>
        <n v="3222207.73"/>
        <n v="1950812.15"/>
        <n v="3007990.84"/>
        <n v="2606457.79"/>
        <n v="2714132.08"/>
        <n v="3092023.95"/>
        <n v="6443869.4199999999"/>
        <n v="1392508.14"/>
        <n v="2943846.76"/>
        <n v="419254.85"/>
        <n v="1883807.49"/>
        <n v="2333253.91"/>
        <n v="2905813.4"/>
        <n v="757098.6"/>
        <n v="1560935.41"/>
        <n v="2282140.1"/>
        <n v="2382488.17"/>
        <n v="3568654"/>
        <n v="3495163.5"/>
        <n v="6776185.6900000004"/>
        <n v="415137.55"/>
        <n v="4406790.3499999996"/>
        <n v="825433.67"/>
        <n v="3733798.06"/>
        <n v="1676078.02"/>
        <n v="1877093.83"/>
        <n v="1650695.41"/>
        <n v="2032416.22"/>
        <n v="5687975.9299999997"/>
        <n v="1542618.67"/>
        <n v="3380862.13"/>
        <n v="1813988.18"/>
        <n v="4492737.47"/>
        <n v="3733897.51"/>
        <n v="1803264.94"/>
        <n v="1354157.21"/>
        <n v="2575367.84"/>
        <n v="2508469.86"/>
        <n v="5270433.16"/>
        <n v="1905071.16"/>
        <n v="2906425.19"/>
        <n v="2556577.29"/>
        <n v="2358767.81"/>
        <n v="714695.19"/>
        <n v="4066244.11"/>
        <n v="5966828.5599999996"/>
        <n v="3048285.96"/>
        <n v="618935.67000000004"/>
        <n v="1292747.3500000001"/>
        <n v="3616448.38"/>
        <n v="2143080.9500000002"/>
        <n v="866752.39"/>
        <n v="1316377.6200000001"/>
        <n v="2407660.84"/>
        <n v="5745146.2000000002"/>
        <n v="3244204.25"/>
        <n v="4449421.0999999996"/>
        <n v="4136749.5"/>
        <n v="1938587.1"/>
        <n v="2422516.6800000002"/>
        <n v="3247013.45"/>
        <n v="8583247.3000000007"/>
        <n v="639111.06000000006"/>
        <n v="3116134.9"/>
        <n v="1510928.16"/>
        <n v="618176.80000000005"/>
        <n v="2071736.22"/>
        <n v="1142012.75"/>
        <n v="6335108.8300000001"/>
        <n v="2013145.18"/>
        <n v="1173022.8899999999"/>
        <n v="1955712.94"/>
        <n v="840797.82"/>
        <n v="2174371.9300000002"/>
        <n v="2625757.6800000002"/>
        <n v="601879.73"/>
        <n v="3969227.91"/>
        <n v="5016566.76"/>
        <n v="1547240.6"/>
        <n v="1134508.6499999999"/>
        <n v="2591070.7400000002"/>
        <n v="3742051.97"/>
        <n v="2874025.11"/>
        <n v="3011981.4"/>
        <n v="2092169.31"/>
        <n v="1439934.34"/>
        <n v="1810450.96"/>
        <n v="5356819.38"/>
        <n v="6510695.7000000002"/>
        <n v="4520782.34"/>
        <n v="1007449.12"/>
        <n v="564840.05000000005"/>
        <n v="6367802.4699999997"/>
        <n v="2536624.06"/>
        <n v="1194707.96"/>
        <n v="3957313.4"/>
        <n v="2727577.06"/>
        <n v="2681533.2000000002"/>
        <n v="2825372.26"/>
        <n v="642830.89"/>
        <n v="2251050.92"/>
        <n v="2990116.79"/>
        <n v="3367905.35"/>
        <n v="2978652.97"/>
        <n v="1837127.99"/>
        <n v="1536942.26"/>
        <n v="2658068.14"/>
        <n v="3083695.93"/>
        <n v="2830034.76"/>
        <n v="1548093.27"/>
        <n v="867564.82"/>
        <n v="2031836.19"/>
        <n v="3091570.59"/>
        <n v="6633392.3399999999"/>
        <n v="4297339.82"/>
        <n v="1181975.04"/>
        <n v="11577295.93"/>
        <n v="2410736.98"/>
        <n v="692151.2"/>
        <n v="1258576.42"/>
        <n v="1030118.97"/>
        <n v="4028445.09"/>
        <n v="2346719"/>
        <n v="3326521.1"/>
        <n v="1653602.64"/>
        <n v="5029867.79"/>
        <n v="3700568.66"/>
        <n v="2625145.2200000002"/>
        <n v="1368570.59"/>
        <n v="7367765.46"/>
        <n v="4945752.5199999996"/>
        <n v="795253.41"/>
        <n v="4200194.37"/>
        <n v="6056441.3700000001"/>
        <n v="2941652.56"/>
        <n v="2328047.63"/>
        <n v="4703747.8"/>
        <n v="4550062.67"/>
        <n v="5172875.5"/>
        <n v="602706.81000000006"/>
        <n v="2485360.11"/>
        <n v="3682668.74"/>
        <n v="4032011.13"/>
        <n v="3403228.57"/>
        <n v="1443400.51"/>
        <n v="3687397.28"/>
        <n v="7686272.0700000003"/>
        <n v="1833931.99"/>
        <n v="2057874.91"/>
        <n v="761451.63"/>
        <n v="2389203.56"/>
        <n v="1460235.88"/>
        <n v="1772957.17"/>
        <n v="1467961.39"/>
        <n v="1379402.49"/>
        <n v="3305228.65"/>
        <n v="1254290.1000000001"/>
        <n v="4800373.55"/>
        <n v="951963.17"/>
        <n v="5872468.4800000004"/>
        <n v="1662472.27"/>
        <n v="1157268.05"/>
        <n v="8518494.3200000003"/>
        <n v="4778046.8099999996"/>
        <n v="4380214.3"/>
        <n v="5819811.4400000004"/>
        <n v="4455320.8600000003"/>
        <n v="4478372.76"/>
        <n v="2364928.66"/>
        <n v="4731468.72"/>
        <n v="641296.64000000001"/>
        <n v="3155986.73"/>
        <n v="4047072.48"/>
        <n v="917613.33"/>
        <n v="6164863.6699999999"/>
        <n v="1831892.26"/>
        <n v="1136108.8700000001"/>
        <n v="1626663.82"/>
        <n v="2863429.47"/>
        <n v="4987053.71"/>
        <n v="2102559.65"/>
        <n v="4208817.8499999996"/>
        <n v="6468438.0599999996"/>
        <n v="2531628.96"/>
        <n v="2806122.06"/>
        <n v="2349380.39"/>
        <n v="1491751.11"/>
        <n v="2792259.85"/>
        <n v="1032514.49"/>
        <n v="2987311.77"/>
        <n v="2149275.48"/>
        <n v="4993434.2300000004"/>
        <n v="2530463.62"/>
        <n v="7253636.4699999997"/>
        <n v="1785615.46"/>
        <n v="529563.73"/>
        <n v="2196417.2200000002"/>
        <n v="4909073.6100000003"/>
        <n v="897404.11"/>
        <n v="722680.3"/>
        <n v="1320648.3600000001"/>
        <n v="862353.37"/>
        <n v="7035403.1900000004"/>
        <n v="1535750.35"/>
        <n v="1129547.78"/>
        <n v="1859496.88"/>
        <n v="10422582.66"/>
        <n v="2602263.33"/>
        <n v="3922073.17"/>
        <n v="937902.93"/>
        <n v="5348861.97"/>
        <n v="4634332.3600000003"/>
        <n v="2526118.0699999998"/>
        <n v="3266642.53"/>
        <n v="4085031.86"/>
        <n v="698667.79"/>
        <n v="3182834.15"/>
        <n v="3212616.4"/>
        <n v="1435655.76"/>
        <n v="2531863.85"/>
        <n v="2911291.7"/>
        <n v="1266941.77"/>
        <n v="941034.3"/>
        <n v="1580447.82"/>
        <n v="4698879.46"/>
        <n v="2275198.2599999998"/>
        <n v="1003969.21"/>
        <n v="3096991.33"/>
        <n v="1255931.71"/>
        <n v="1422894.37"/>
        <n v="3363822.07"/>
        <n v="2142553.8199999998"/>
        <n v="8726521.3499999996"/>
        <n v="3944515.61"/>
        <n v="7149953.9800000004"/>
        <n v="1353200.37"/>
        <n v="3240631.4"/>
        <n v="2105892.5099999998"/>
        <n v="3534997.28"/>
        <n v="5794495.5199999996"/>
        <n v="4380151.08"/>
        <n v="2807015.16"/>
        <n v="664446.17000000004"/>
        <n v="1673092.65"/>
        <n v="1849660.24"/>
        <n v="668676.1"/>
        <n v="3479855.38"/>
        <n v="3767177.71"/>
        <n v="3405726.7"/>
        <n v="1641515.54"/>
        <n v="1586488.03"/>
        <n v="1126490.56"/>
        <n v="5513047.8600000003"/>
        <n v="2482396.52"/>
        <n v="2219084.9500000002"/>
        <n v="1423038.59"/>
        <n v="4227409.95"/>
        <n v="1614620.18"/>
        <n v="4081467"/>
        <n v="1544374.71"/>
        <n v="2166582.31"/>
        <n v="1293759.1100000001"/>
        <n v="556625.17000000004"/>
        <n v="7040894.9100000001"/>
        <n v="2733839.18"/>
        <n v="3706914.65"/>
        <n v="5070650.21"/>
        <n v="944561.57"/>
        <n v="1062504.3799999999"/>
        <n v="1445950.1"/>
        <n v="1924916.2"/>
        <n v="639599.69999999995"/>
        <n v="1085518.31"/>
        <n v="1366952.36"/>
        <n v="8181786.3200000003"/>
        <n v="1401844.34"/>
        <n v="2450851.61"/>
        <n v="3166144.83"/>
        <n v="3955862.49"/>
        <n v="4945617.34"/>
        <n v="5486851.2400000002"/>
        <n v="3499060.17"/>
        <n v="3236187.64"/>
        <n v="2144560.42"/>
        <n v="1468396.6"/>
        <n v="4227791.0199999996"/>
        <n v="1323600.99"/>
        <n v="1645196.91"/>
        <n v="1996807.57"/>
        <n v="4054985.75"/>
        <n v="2367563.2200000002"/>
        <n v="1269806.24"/>
        <n v="524652.68999999994"/>
        <n v="2135225.13"/>
        <n v="8555769.9199999999"/>
        <n v="2247547.73"/>
        <n v="980730.14"/>
        <n v="4473021.84"/>
        <n v="2689713.42"/>
        <n v="2266273.4"/>
        <n v="1835902.46"/>
        <n v="1337659.8600000001"/>
        <n v="2405412.1800000002"/>
        <n v="2009705.99"/>
        <n v="791070.5"/>
        <n v="1107200.51"/>
        <n v="4693041.45"/>
        <n v="3218248.07"/>
        <n v="1603909.43"/>
        <n v="2267468.2599999998"/>
        <n v="3060297.73"/>
        <n v="4182575.02"/>
        <n v="1264912.83"/>
        <n v="3787589.47"/>
        <n v="3706021.15"/>
        <n v="1842642.34"/>
        <n v="5142498.68"/>
        <n v="2116901.4700000002"/>
        <n v="2965372.21"/>
        <n v="6203499.9299999997"/>
        <n v="2504594.84"/>
        <n v="3422258.08"/>
        <n v="2934887.01"/>
        <n v="2514070.6800000002"/>
        <n v="887743.91"/>
        <n v="833256.71"/>
        <n v="3892044.05"/>
        <n v="2444731.5"/>
        <n v="3167583.01"/>
        <n v="2721879.68"/>
        <n v="3426291.48"/>
        <n v="2668478.92"/>
        <n v="1780402.59"/>
        <n v="5676011.4400000004"/>
        <n v="4206184.57"/>
        <n v="1201913.08"/>
        <n v="943623.62"/>
        <n v="6122970.7599999998"/>
        <n v="5569954.6600000001"/>
        <n v="5829281.5499999998"/>
        <n v="1995280.37"/>
        <n v="2242704.0299999998"/>
        <n v="3701255.37"/>
        <n v="1710346.58"/>
        <n v="3264776.12"/>
        <n v="505160.33"/>
        <n v="656000.98"/>
        <n v="4031732.04"/>
        <n v="1951223.87"/>
        <n v="2201670.15"/>
        <n v="992341.27"/>
        <n v="1466996.16"/>
        <n v="2116994.9300000002"/>
        <n v="8258758.7300000004"/>
        <n v="3111027.07"/>
        <n v="4131056.57"/>
        <n v="987967.58"/>
        <n v="2126629.7599999998"/>
        <n v="3933314.72"/>
        <n v="4620519.83"/>
        <n v="5541722.6600000001"/>
        <n v="774682.1"/>
        <n v="1046903.01"/>
        <n v="2698270.88"/>
        <n v="3043417.73"/>
        <n v="921080.74"/>
        <n v="3986006.43"/>
        <n v="2002746.27"/>
        <n v="2149460.89"/>
        <n v="5043350.97"/>
        <n v="2994088.87"/>
        <n v="9344118.6600000001"/>
        <n v="3490888.31"/>
        <n v="1191628"/>
        <n v="815080.48"/>
        <n v="475326.81"/>
        <n v="1968745.07"/>
        <n v="450838.11"/>
        <n v="2452250.17"/>
        <n v="5620586.3600000003"/>
        <n v="2520660.98"/>
        <n v="5481451.6699999999"/>
        <n v="1890046.69"/>
        <n v="399316.55"/>
        <n v="2824586.55"/>
        <n v="2665107.4900000002"/>
        <n v="1867784.24"/>
        <n v="4576963.63"/>
        <n v="1760206.67"/>
        <n v="1777848.23"/>
        <n v="2244803.69"/>
        <n v="5399981.2699999996"/>
        <n v="3403497"/>
        <n v="1224216.24"/>
        <n v="7007981.2999999998"/>
        <n v="6675311.6799999997"/>
      </sharedItems>
    </cacheField>
    <cacheField name="Region" numFmtId="0">
      <sharedItems count="5">
        <s v="West India"/>
        <s v="North India"/>
        <s v="East India"/>
        <s v="Pan India"/>
        <s v="South India"/>
      </sharedItems>
    </cacheField>
    <cacheField name="CTR" numFmtId="0">
      <sharedItems containsSemiMixedTypes="0" containsString="0" containsNumber="1" minValue="3.0010523802364757" maxValue="7.9946627427017996"/>
    </cacheField>
    <cacheField name="CPC" numFmtId="0">
      <sharedItems containsSemiMixedTypes="0" containsString="0" containsNumber="1" minValue="5.105494626895652" maxValue="33.084940151074953"/>
    </cacheField>
    <cacheField name="Conversion_Rate" numFmtId="0">
      <sharedItems containsSemiMixedTypes="0" containsString="0" containsNumber="1" minValue="15.054070792244294" maxValue="24.994573475146517"/>
    </cacheField>
    <cacheField name="CPA" numFmtId="0">
      <sharedItems containsSemiMixedTypes="0" containsString="0" containsNumber="1" minValue="78.028257866462013" maxValue="927.34824104234519"/>
    </cacheField>
    <cacheField name="ROAS" numFmtId="0">
      <sharedItems containsSemiMixedTypes="0" containsString="0" containsNumber="1" minValue="5.087166476018437" maxValue="91.3906289063104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3">
  <r>
    <d v="2024-01-01T00:00:00"/>
    <s v="AD004"/>
    <x v="0"/>
    <x v="0"/>
    <s v="17–21 Age"/>
    <n v="285708"/>
    <n v="16956"/>
    <n v="4087"/>
    <n v="2547"/>
    <n v="1148"/>
    <n v="275457.87"/>
    <n v="4615838.04"/>
    <s v="West India"/>
    <n v="5.9347305640724093"/>
    <n v="16.245451167728238"/>
    <n v="24.103562160887002"/>
    <n v="239.94587979094075"/>
    <n v="16.756965557019665"/>
  </r>
  <r>
    <d v="2024-01-02T00:00:00"/>
    <s v="AD004"/>
    <x v="0"/>
    <x v="0"/>
    <s v="17–21 Age"/>
    <n v="140449"/>
    <n v="10082"/>
    <n v="1815"/>
    <n v="951"/>
    <n v="565"/>
    <n v="133025.85999999999"/>
    <n v="3513169.9"/>
    <s v="North India"/>
    <n v="7.1784063966279579"/>
    <n v="13.194391985717118"/>
    <n v="18.002380480063479"/>
    <n v="235.44399999999999"/>
    <n v="26.40967628399471"/>
  </r>
  <r>
    <d v="2024-01-03T00:00:00"/>
    <s v="AD004"/>
    <x v="0"/>
    <x v="0"/>
    <s v="17–21 Age"/>
    <n v="140958"/>
    <n v="7474"/>
    <n v="1169"/>
    <n v="683"/>
    <n v="343"/>
    <n v="135765.60999999999"/>
    <n v="1051924.8799999999"/>
    <s v="North India"/>
    <n v="5.3022886249804904"/>
    <n v="18.165053518865399"/>
    <n v="15.640888413165641"/>
    <n v="395.8181049562682"/>
    <n v="7.7480952650674935"/>
  </r>
  <r>
    <d v="2024-01-04T00:00:00"/>
    <s v="AD004"/>
    <x v="0"/>
    <x v="0"/>
    <s v="22–27 Age"/>
    <n v="257823"/>
    <n v="16841"/>
    <n v="3179"/>
    <n v="1584"/>
    <n v="698"/>
    <n v="229715.44"/>
    <n v="3850639.56"/>
    <s v="West India"/>
    <n v="6.5320006360953062"/>
    <n v="13.640249391366309"/>
    <n v="18.876551273677336"/>
    <n v="329.10521489971347"/>
    <n v="16.762650172752863"/>
  </r>
  <r>
    <d v="2024-01-05T00:00:00"/>
    <s v="AD004"/>
    <x v="0"/>
    <x v="0"/>
    <s v="25–35 Age"/>
    <n v="98595"/>
    <n v="7293"/>
    <n v="1340"/>
    <n v="854"/>
    <n v="368"/>
    <n v="52360.959999999999"/>
    <n v="1543262.86"/>
    <s v="West India"/>
    <n v="7.3969268218469502"/>
    <n v="7.1796188125599887"/>
    <n v="18.373783079665433"/>
    <n v="142.28521739130434"/>
    <n v="29.473540210110741"/>
  </r>
  <r>
    <d v="2024-01-06T00:00:00"/>
    <s v="AD004"/>
    <x v="0"/>
    <x v="0"/>
    <s v="22–27 Age"/>
    <n v="68114"/>
    <n v="5377"/>
    <n v="909"/>
    <n v="505"/>
    <n v="222"/>
    <n v="27454.35"/>
    <n v="1717163.91"/>
    <s v="North India"/>
    <n v="7.8941186833837387"/>
    <n v="5.1058861818858094"/>
    <n v="16.905337548819045"/>
    <n v="123.66824324324324"/>
    <n v="62.546150610012624"/>
  </r>
  <r>
    <d v="2024-01-07T00:00:00"/>
    <s v="AD004"/>
    <x v="0"/>
    <x v="0"/>
    <s v="17–21 Age"/>
    <n v="175572"/>
    <n v="6855"/>
    <n v="1452"/>
    <n v="757"/>
    <n v="346"/>
    <n v="95497.97"/>
    <n v="2598807.52"/>
    <s v="East India"/>
    <n v="3.9043811086050164"/>
    <n v="13.931140773158278"/>
    <n v="21.181619256017505"/>
    <n v="276.00569364161851"/>
    <n v="27.213222647559942"/>
  </r>
  <r>
    <d v="2024-01-08T00:00:00"/>
    <s v="AD004"/>
    <x v="0"/>
    <x v="0"/>
    <s v="22–27 Age"/>
    <n v="231966"/>
    <n v="9373"/>
    <n v="1934"/>
    <n v="1247"/>
    <n v="553"/>
    <n v="175649"/>
    <n v="2558956.35"/>
    <s v="West India"/>
    <n v="4.0406783752791355"/>
    <n v="18.739891176784379"/>
    <n v="20.633735196841993"/>
    <n v="317.62929475587703"/>
    <n v="14.568579098087664"/>
  </r>
  <r>
    <d v="2024-01-09T00:00:00"/>
    <s v="AD004"/>
    <x v="0"/>
    <x v="0"/>
    <s v="17–21 Age"/>
    <n v="281339"/>
    <n v="12310"/>
    <n v="2329"/>
    <n v="1319"/>
    <n v="734"/>
    <n v="126723.85"/>
    <n v="4265725.03"/>
    <s v="West India"/>
    <n v="4.3755042848663006"/>
    <n v="10.294382615759545"/>
    <n v="18.919577579203899"/>
    <n v="172.6482970027248"/>
    <n v="33.661580120869118"/>
  </r>
  <r>
    <d v="2024-01-10T00:00:00"/>
    <s v="AD004"/>
    <x v="0"/>
    <x v="0"/>
    <s v="22–27 Age"/>
    <n v="98805"/>
    <n v="6952"/>
    <n v="1479"/>
    <n v="955"/>
    <n v="455"/>
    <n v="49446.12"/>
    <n v="3012430.04"/>
    <s v="North India"/>
    <n v="7.0360811699812755"/>
    <n v="7.1125028768699661"/>
    <n v="21.274453394706562"/>
    <n v="108.67279120879121"/>
    <n v="60.923486817570314"/>
  </r>
  <r>
    <d v="2024-01-11T00:00:00"/>
    <s v="AD004"/>
    <x v="0"/>
    <x v="0"/>
    <s v="25–35 Age"/>
    <n v="144093"/>
    <n v="11451"/>
    <n v="1776"/>
    <n v="934"/>
    <n v="480"/>
    <n v="104177.45"/>
    <n v="1723113.84"/>
    <s v="North India"/>
    <n v="7.9469509275259727"/>
    <n v="9.0976726923412805"/>
    <n v="15.509562483625885"/>
    <n v="217.03635416666665"/>
    <n v="16.540180624501751"/>
  </r>
  <r>
    <d v="2024-01-12T00:00:00"/>
    <s v="AD004"/>
    <x v="0"/>
    <x v="0"/>
    <s v="25–35 Age"/>
    <n v="158894"/>
    <n v="6588"/>
    <n v="1470"/>
    <n v="867"/>
    <n v="405"/>
    <n v="102314.09"/>
    <n v="3080880.49"/>
    <s v="Pan India"/>
    <n v="4.1461603333039641"/>
    <n v="15.530371888281724"/>
    <n v="22.313296903460838"/>
    <n v="252.62738271604937"/>
    <n v="30.111986433149141"/>
  </r>
  <r>
    <d v="2024-01-13T00:00:00"/>
    <s v="AD004"/>
    <x v="0"/>
    <x v="0"/>
    <s v="25–35 Age"/>
    <n v="66250"/>
    <n v="4921"/>
    <n v="871"/>
    <n v="392"/>
    <n v="210"/>
    <n v="51283.71"/>
    <n v="1495426.01"/>
    <s v="North India"/>
    <n v="7.4279245283018867"/>
    <n v="10.421400121926437"/>
    <n v="17.699654541759806"/>
    <n v="244.20814285714286"/>
    <n v="29.159864019198299"/>
  </r>
  <r>
    <d v="2024-01-14T00:00:00"/>
    <s v="AD004"/>
    <x v="0"/>
    <x v="0"/>
    <s v="25–35 Age"/>
    <n v="146445"/>
    <n v="6570"/>
    <n v="1466"/>
    <n v="803"/>
    <n v="436"/>
    <n v="60478.27"/>
    <n v="2107164.39"/>
    <s v="West India"/>
    <n v="4.4863259244084812"/>
    <n v="9.2052161339421605"/>
    <n v="22.313546423135463"/>
    <n v="138.71162844036695"/>
    <n v="34.84167768026434"/>
  </r>
  <r>
    <d v="2024-01-15T00:00:00"/>
    <s v="AD004"/>
    <x v="0"/>
    <x v="0"/>
    <s v="22–27 Age"/>
    <n v="95097"/>
    <n v="7359"/>
    <n v="1754"/>
    <n v="1030"/>
    <n v="512"/>
    <n v="47007.7"/>
    <n v="2174797.75"/>
    <s v="South India"/>
    <n v="7.7384144610240071"/>
    <n v="6.3877836662590024"/>
    <n v="23.834760157630114"/>
    <n v="91.811914062499994"/>
    <n v="46.264713015101783"/>
  </r>
  <r>
    <d v="2024-01-16T00:00:00"/>
    <s v="AD004"/>
    <x v="0"/>
    <x v="0"/>
    <s v="17–21 Age"/>
    <n v="234993"/>
    <n v="13461"/>
    <n v="2316"/>
    <n v="1322"/>
    <n v="778"/>
    <n v="118803.89"/>
    <n v="3598637.63"/>
    <s v="South India"/>
    <n v="5.7282557352772212"/>
    <n v="8.8257848599658271"/>
    <n v="17.205259638956989"/>
    <n v="152.70422879177377"/>
    <n v="30.290570704376766"/>
  </r>
  <r>
    <d v="2024-01-17T00:00:00"/>
    <s v="AD004"/>
    <x v="0"/>
    <x v="0"/>
    <s v="25–35 Age"/>
    <n v="72601"/>
    <n v="4823"/>
    <n v="859"/>
    <n v="471"/>
    <n v="224"/>
    <n v="65231.88"/>
    <n v="1540858.24"/>
    <s v="West India"/>
    <n v="6.6431591851351905"/>
    <n v="13.525166908563135"/>
    <n v="17.810491395397055"/>
    <n v="291.21375"/>
    <n v="23.621245317473605"/>
  </r>
  <r>
    <d v="2024-01-18T00:00:00"/>
    <s v="AD004"/>
    <x v="0"/>
    <x v="0"/>
    <s v="17–21 Age"/>
    <n v="64854"/>
    <n v="3268"/>
    <n v="774"/>
    <n v="379"/>
    <n v="187"/>
    <n v="29837.69"/>
    <n v="1134934.72"/>
    <s v="South India"/>
    <n v="5.0390107009590777"/>
    <n v="9.1302600979192157"/>
    <n v="23.684210526315788"/>
    <n v="159.55983957219252"/>
    <n v="38.036949911336968"/>
  </r>
  <r>
    <d v="2024-01-19T00:00:00"/>
    <s v="AD004"/>
    <x v="0"/>
    <x v="0"/>
    <s v="25–35 Age"/>
    <n v="140767"/>
    <n v="7435"/>
    <n v="1316"/>
    <n v="748"/>
    <n v="419"/>
    <n v="134777.68"/>
    <n v="2166219.39"/>
    <s v="Pan India"/>
    <n v="5.2817776893732198"/>
    <n v="18.127462004034967"/>
    <n v="17.700067249495628"/>
    <n v="321.66510739856801"/>
    <n v="16.072538049326862"/>
  </r>
  <r>
    <d v="2024-01-20T00:00:00"/>
    <s v="AD004"/>
    <x v="0"/>
    <x v="0"/>
    <s v="22–27 Age"/>
    <n v="102564"/>
    <n v="4036"/>
    <n v="954"/>
    <n v="619"/>
    <n v="352"/>
    <n v="51435.05"/>
    <n v="2739137.65"/>
    <s v="West India"/>
    <n v="3.935103935103935"/>
    <n v="12.744065906838454"/>
    <n v="23.637264618434092"/>
    <n v="146.12230113636363"/>
    <n v="53.254301298433653"/>
  </r>
  <r>
    <d v="2024-01-21T00:00:00"/>
    <s v="AD004"/>
    <x v="0"/>
    <x v="0"/>
    <s v="25–35 Age"/>
    <n v="99366"/>
    <n v="6149"/>
    <n v="1025"/>
    <n v="585"/>
    <n v="331"/>
    <n v="39928.53"/>
    <n v="2041493.6"/>
    <s v="East India"/>
    <n v="6.1882333997544432"/>
    <n v="6.4934997560578953"/>
    <n v="16.669377134493413"/>
    <n v="120.63"/>
    <n v="51.128694194351759"/>
  </r>
  <r>
    <d v="2024-01-22T00:00:00"/>
    <s v="AD004"/>
    <x v="0"/>
    <x v="0"/>
    <s v="17–21 Age"/>
    <n v="130732"/>
    <n v="9877"/>
    <n v="1815"/>
    <n v="1127"/>
    <n v="550"/>
    <n v="65158.43"/>
    <n v="2707316.61"/>
    <s v="Pan India"/>
    <n v="7.5551509959306067"/>
    <n v="6.5969859269008806"/>
    <n v="18.376025108838718"/>
    <n v="118.46987272727273"/>
    <n v="41.54975204282853"/>
  </r>
  <r>
    <d v="2024-01-23T00:00:00"/>
    <s v="AD004"/>
    <x v="0"/>
    <x v="0"/>
    <s v="22–27 Age"/>
    <n v="60282"/>
    <n v="3890"/>
    <n v="823"/>
    <n v="440"/>
    <n v="184"/>
    <n v="50617.5"/>
    <n v="1332250.53"/>
    <s v="East India"/>
    <n v="6.4530042135297432"/>
    <n v="13.012210796915166"/>
    <n v="21.156812339331619"/>
    <n v="275.09510869565219"/>
    <n v="26.3199591050526"/>
  </r>
  <r>
    <d v="2024-01-24T00:00:00"/>
    <s v="AD004"/>
    <x v="0"/>
    <x v="0"/>
    <s v="22–27 Age"/>
    <n v="227987"/>
    <n v="9955"/>
    <n v="2151"/>
    <n v="1233"/>
    <n v="739"/>
    <n v="116682"/>
    <n v="4318918.7"/>
    <s v="North India"/>
    <n v="4.3664770359713492"/>
    <n v="11.720944249121045"/>
    <n v="21.607232546459066"/>
    <n v="157.89174560216509"/>
    <n v="37.014438388097567"/>
  </r>
  <r>
    <d v="2024-01-25T00:00:00"/>
    <s v="AD004"/>
    <x v="0"/>
    <x v="0"/>
    <s v="22–27 Age"/>
    <n v="272168"/>
    <n v="16989"/>
    <n v="3561"/>
    <n v="1864"/>
    <n v="959"/>
    <n v="166206.38"/>
    <n v="4449882.8899999997"/>
    <s v="West India"/>
    <n v="6.2421004673583962"/>
    <n v="9.783176172817706"/>
    <n v="20.960621578668551"/>
    <n v="173.31217935349324"/>
    <n v="26.773237525539027"/>
  </r>
  <r>
    <d v="2024-01-26T00:00:00"/>
    <s v="AD004"/>
    <x v="0"/>
    <x v="0"/>
    <s v="17–21 Age"/>
    <n v="264817"/>
    <n v="10684"/>
    <n v="1820"/>
    <n v="1080"/>
    <n v="558"/>
    <n v="178964.33"/>
    <n v="2959111.96"/>
    <s v="North India"/>
    <n v="4.0344841909696134"/>
    <n v="16.750686072631972"/>
    <n v="17.034818420067392"/>
    <n v="320.72460573476701"/>
    <n v="16.534646652771535"/>
  </r>
  <r>
    <d v="2024-01-27T00:00:00"/>
    <s v="AD004"/>
    <x v="0"/>
    <x v="0"/>
    <s v="22–27 Age"/>
    <n v="296970"/>
    <n v="16468"/>
    <n v="3817"/>
    <n v="2120"/>
    <n v="1220"/>
    <n v="288391.33"/>
    <n v="6571498.9500000002"/>
    <s v="Pan India"/>
    <n v="5.5453412802640001"/>
    <n v="17.512225528297304"/>
    <n v="23.178285159096429"/>
    <n v="236.38633606557377"/>
    <n v="22.786742410044017"/>
  </r>
  <r>
    <d v="2024-01-28T00:00:00"/>
    <s v="AD004"/>
    <x v="0"/>
    <x v="0"/>
    <s v="25–35 Age"/>
    <n v="280154"/>
    <n v="13508"/>
    <n v="2070"/>
    <n v="1200"/>
    <n v="490"/>
    <n v="258351.31"/>
    <n v="2606824.7599999998"/>
    <s v="West India"/>
    <n v="4.8216338156870862"/>
    <n v="19.125800266508737"/>
    <n v="15.324252294936333"/>
    <n v="527.2475714285714"/>
    <n v="10.090232404859877"/>
  </r>
  <r>
    <d v="2024-01-29T00:00:00"/>
    <s v="AD004"/>
    <x v="0"/>
    <x v="0"/>
    <s v="17–21 Age"/>
    <n v="246082"/>
    <n v="9319"/>
    <n v="1989"/>
    <n v="960"/>
    <n v="442"/>
    <n v="195337.39"/>
    <n v="2170310.94"/>
    <s v="East India"/>
    <n v="3.7869490657585687"/>
    <n v="20.961196480309049"/>
    <n v="21.343491790964698"/>
    <n v="441.93979638009051"/>
    <n v="11.110576116533551"/>
  </r>
  <r>
    <d v="2024-01-30T00:00:00"/>
    <s v="AD004"/>
    <x v="0"/>
    <x v="0"/>
    <s v="25–35 Age"/>
    <n v="162479"/>
    <n v="9378"/>
    <n v="2210"/>
    <n v="1154"/>
    <n v="604"/>
    <n v="157517.73000000001"/>
    <n v="4429720.09"/>
    <s v="Pan India"/>
    <n v="5.7718228201798389"/>
    <n v="16.796516314779272"/>
    <n v="23.565792279803794"/>
    <n v="260.79094370860929"/>
    <n v="28.122041182284683"/>
  </r>
  <r>
    <d v="2024-01-31T00:00:00"/>
    <s v="AD004"/>
    <x v="0"/>
    <x v="0"/>
    <s v="22–27 Age"/>
    <n v="256182"/>
    <n v="17232"/>
    <n v="3397"/>
    <n v="1850"/>
    <n v="871"/>
    <n v="212839.26"/>
    <n v="3579677.63"/>
    <s v="South India"/>
    <n v="6.7264679017261173"/>
    <n v="12.351396239554319"/>
    <n v="19.713324048282267"/>
    <n v="244.36195177956373"/>
    <n v="16.818690452128049"/>
  </r>
  <r>
    <d v="2024-02-01T00:00:00"/>
    <s v="AD004"/>
    <x v="0"/>
    <x v="0"/>
    <s v="22–27 Age"/>
    <n v="269710"/>
    <n v="19961"/>
    <n v="3100"/>
    <n v="1479"/>
    <n v="780"/>
    <n v="108988.07"/>
    <n v="2698691.68"/>
    <s v="South India"/>
    <n v="7.4009120907641543"/>
    <n v="5.4600505986674017"/>
    <n v="15.530284053905117"/>
    <n v="139.72829487179487"/>
    <n v="24.761349384386751"/>
  </r>
  <r>
    <d v="2024-02-02T00:00:00"/>
    <s v="AD004"/>
    <x v="0"/>
    <x v="0"/>
    <s v="17–21 Age"/>
    <n v="85354"/>
    <n v="4637"/>
    <n v="948"/>
    <n v="471"/>
    <n v="279"/>
    <n v="39467.1"/>
    <n v="1069477.6599999999"/>
    <s v="Pan India"/>
    <n v="5.4326686505611921"/>
    <n v="8.5113435410825957"/>
    <n v="20.444252749622603"/>
    <n v="141.45913978494625"/>
    <n v="27.097953992059207"/>
  </r>
  <r>
    <d v="2024-02-03T00:00:00"/>
    <s v="AD004"/>
    <x v="0"/>
    <x v="0"/>
    <s v="17–21 Age"/>
    <n v="96853"/>
    <n v="3046"/>
    <n v="699"/>
    <n v="327"/>
    <n v="162"/>
    <n v="53820.55"/>
    <n v="868489.67"/>
    <s v="North India"/>
    <n v="3.1449722775752949"/>
    <n v="17.669254760341431"/>
    <n v="22.948128693368353"/>
    <n v="332.22561728395061"/>
    <n v="16.136766904091466"/>
  </r>
  <r>
    <d v="2024-02-04T00:00:00"/>
    <s v="AD004"/>
    <x v="0"/>
    <x v="0"/>
    <s v="17–21 Age"/>
    <n v="251547"/>
    <n v="15827"/>
    <n v="2989"/>
    <n v="1925"/>
    <n v="804"/>
    <n v="123902.52"/>
    <n v="5851415.0499999998"/>
    <s v="West India"/>
    <n v="6.2918659336028648"/>
    <n v="7.8285537372843876"/>
    <n v="18.885448916408667"/>
    <n v="154.10761194029851"/>
    <n v="47.225956744059765"/>
  </r>
  <r>
    <d v="2024-02-05T00:00:00"/>
    <s v="AD004"/>
    <x v="0"/>
    <x v="0"/>
    <s v="17–21 Age"/>
    <n v="189912"/>
    <n v="12514"/>
    <n v="2711"/>
    <n v="1616"/>
    <n v="890"/>
    <n v="132682.38"/>
    <n v="5279956.6399999997"/>
    <s v="North India"/>
    <n v="6.5893677071485746"/>
    <n v="10.602715358798147"/>
    <n v="21.663736614991212"/>
    <n v="149.08132584269663"/>
    <n v="39.79395485670365"/>
  </r>
  <r>
    <d v="2024-02-06T00:00:00"/>
    <s v="AD004"/>
    <x v="0"/>
    <x v="0"/>
    <s v="25–35 Age"/>
    <n v="202653"/>
    <n v="7479"/>
    <n v="1790"/>
    <n v="1010"/>
    <n v="592"/>
    <n v="93098.57"/>
    <n v="3172503.59"/>
    <s v="West India"/>
    <n v="3.6905449216147801"/>
    <n v="12.447997058430273"/>
    <n v="23.933680973392164"/>
    <n v="157.26109797297298"/>
    <n v="34.07682405862947"/>
  </r>
  <r>
    <d v="2024-02-07T00:00:00"/>
    <s v="AD004"/>
    <x v="0"/>
    <x v="0"/>
    <s v="17–21 Age"/>
    <n v="72831"/>
    <n v="5085"/>
    <n v="1192"/>
    <n v="648"/>
    <n v="367"/>
    <n v="65890.34"/>
    <n v="2806226.91"/>
    <s v="West India"/>
    <n v="6.9819170408205302"/>
    <n v="12.95778564405113"/>
    <n v="23.441494591937069"/>
    <n v="179.53771117166212"/>
    <n v="42.589352399759967"/>
  </r>
  <r>
    <d v="2024-02-08T00:00:00"/>
    <s v="AD004"/>
    <x v="0"/>
    <x v="0"/>
    <s v="25–35 Age"/>
    <n v="215776"/>
    <n v="15117"/>
    <n v="2292"/>
    <n v="1195"/>
    <n v="520"/>
    <n v="203852.45"/>
    <n v="3424734.79"/>
    <s v="East India"/>
    <n v="7.0058764644816849"/>
    <n v="13.484980485546075"/>
    <n v="15.161738440166699"/>
    <n v="392.02394230769232"/>
    <n v="16.800066862085789"/>
  </r>
  <r>
    <d v="2024-02-09T00:00:00"/>
    <s v="AD004"/>
    <x v="0"/>
    <x v="0"/>
    <s v="17–21 Age"/>
    <n v="72443"/>
    <n v="3074"/>
    <n v="557"/>
    <n v="275"/>
    <n v="119"/>
    <n v="67537.919999999998"/>
    <n v="364638.44"/>
    <s v="South India"/>
    <n v="4.2433361401377638"/>
    <n v="21.970696161353285"/>
    <n v="18.119713728041638"/>
    <n v="567.5455462184874"/>
    <n v="5.3990179146766737"/>
  </r>
  <r>
    <d v="2024-02-10T00:00:00"/>
    <s v="AD004"/>
    <x v="0"/>
    <x v="0"/>
    <s v="25–35 Age"/>
    <n v="155169"/>
    <n v="10534"/>
    <n v="1826"/>
    <n v="964"/>
    <n v="488"/>
    <n v="65548.509999999995"/>
    <n v="2007650.15"/>
    <s v="South India"/>
    <n v="6.7887271297746326"/>
    <n v="6.2225659768369086"/>
    <n v="17.334345927472945"/>
    <n v="134.32071721311473"/>
    <n v="30.628463560804054"/>
  </r>
  <r>
    <d v="2024-02-11T00:00:00"/>
    <s v="AD004"/>
    <x v="0"/>
    <x v="0"/>
    <s v="17–21 Age"/>
    <n v="145600"/>
    <n v="10817"/>
    <n v="2620"/>
    <n v="1253"/>
    <n v="628"/>
    <n v="143250"/>
    <n v="3766197.11"/>
    <s v="Pan India"/>
    <n v="7.4292582417582427"/>
    <n v="13.243043357677729"/>
    <n v="24.221133401127855"/>
    <n v="228.10509554140128"/>
    <n v="26.291079301919719"/>
  </r>
  <r>
    <d v="2024-02-12T00:00:00"/>
    <s v="AD004"/>
    <x v="0"/>
    <x v="0"/>
    <s v="22–27 Age"/>
    <n v="235449"/>
    <n v="17901"/>
    <n v="3572"/>
    <n v="1970"/>
    <n v="869"/>
    <n v="156170.04999999999"/>
    <n v="3779197.39"/>
    <s v="East India"/>
    <n v="7.6029203776614036"/>
    <n v="8.7240964191944581"/>
    <n v="19.954192503212113"/>
    <n v="179.71237054085154"/>
    <n v="24.1992455659712"/>
  </r>
  <r>
    <d v="2024-02-13T00:00:00"/>
    <s v="AD004"/>
    <x v="0"/>
    <x v="0"/>
    <s v="25–35 Age"/>
    <n v="92082"/>
    <n v="5873"/>
    <n v="1376"/>
    <n v="740"/>
    <n v="425"/>
    <n v="72924.97"/>
    <n v="2747864.33"/>
    <s v="North India"/>
    <n v="6.378010903325297"/>
    <n v="12.416987910778138"/>
    <n v="23.429252511493274"/>
    <n v="171.58816470588235"/>
    <n v="37.680705662271784"/>
  </r>
  <r>
    <d v="2024-02-14T00:00:00"/>
    <s v="AD004"/>
    <x v="0"/>
    <x v="0"/>
    <s v="22–27 Age"/>
    <n v="69767"/>
    <n v="4894"/>
    <n v="1047"/>
    <n v="585"/>
    <n v="275"/>
    <n v="47791.5"/>
    <n v="2145764.4700000002"/>
    <s v="Pan India"/>
    <n v="7.0147777602591486"/>
    <n v="9.7653248876174903"/>
    <n v="21.393543114017163"/>
    <n v="173.78727272727272"/>
    <n v="44.898454118410179"/>
  </r>
  <r>
    <d v="2024-02-15T00:00:00"/>
    <s v="AD004"/>
    <x v="0"/>
    <x v="0"/>
    <s v="17–21 Age"/>
    <n v="131440"/>
    <n v="4550"/>
    <n v="1063"/>
    <n v="659"/>
    <n v="286"/>
    <n v="119990.61"/>
    <n v="1990223.55"/>
    <s v="East India"/>
    <n v="3.4616555082166767"/>
    <n v="26.371562637362636"/>
    <n v="23.362637362637361"/>
    <n v="419.5475874125874"/>
    <n v="16.586494143166703"/>
  </r>
  <r>
    <d v="2024-02-16T00:00:00"/>
    <s v="AD004"/>
    <x v="0"/>
    <x v="0"/>
    <s v="25–35 Age"/>
    <n v="281475"/>
    <n v="14540"/>
    <n v="2460"/>
    <n v="1239"/>
    <n v="519"/>
    <n v="112654.64"/>
    <n v="3920124.36"/>
    <s v="South India"/>
    <n v="5.1656452615685229"/>
    <n v="7.74791196698762"/>
    <n v="16.918844566712519"/>
    <n v="217.0609633911368"/>
    <n v="34.797717697202707"/>
  </r>
  <r>
    <d v="2024-02-17T00:00:00"/>
    <s v="AD004"/>
    <x v="0"/>
    <x v="0"/>
    <s v="17–21 Age"/>
    <n v="138904"/>
    <n v="6550"/>
    <n v="1548"/>
    <n v="797"/>
    <n v="435"/>
    <n v="128170.76"/>
    <n v="3043168.56"/>
    <s v="South India"/>
    <n v="4.7154869550192942"/>
    <n v="19.568054961832061"/>
    <n v="23.63358778625954"/>
    <n v="294.64542528735632"/>
    <n v="23.743079622840657"/>
  </r>
  <r>
    <d v="2024-02-18T00:00:00"/>
    <s v="AD004"/>
    <x v="0"/>
    <x v="0"/>
    <s v="25–35 Age"/>
    <n v="294254"/>
    <n v="13308"/>
    <n v="3157"/>
    <n v="1809"/>
    <n v="752"/>
    <n v="251733.22"/>
    <n v="4143706.82"/>
    <s v="Pan India"/>
    <n v="4.5226233118326347"/>
    <n v="18.915931770363692"/>
    <n v="23.722572888488127"/>
    <n v="334.75162234042551"/>
    <n v="16.460707172458207"/>
  </r>
  <r>
    <d v="2024-02-19T00:00:00"/>
    <s v="AD004"/>
    <x v="0"/>
    <x v="0"/>
    <s v="17–21 Age"/>
    <n v="176880"/>
    <n v="12551"/>
    <n v="2597"/>
    <n v="1551"/>
    <n v="905"/>
    <n v="165229.22"/>
    <n v="3242544.96"/>
    <s v="South India"/>
    <n v="7.095771144278606"/>
    <n v="13.164625926221019"/>
    <n v="20.691578360290016"/>
    <n v="182.57372375690608"/>
    <n v="19.624525008349007"/>
  </r>
  <r>
    <d v="2024-02-20T00:00:00"/>
    <s v="AD004"/>
    <x v="0"/>
    <x v="0"/>
    <s v="25–35 Age"/>
    <n v="135158"/>
    <n v="10392"/>
    <n v="2062"/>
    <n v="977"/>
    <n v="480"/>
    <n v="101398.32"/>
    <n v="1965140.43"/>
    <s v="North India"/>
    <n v="7.6887790585832878"/>
    <n v="9.757344110854504"/>
    <n v="19.842186297151652"/>
    <n v="211.24650000000003"/>
    <n v="19.380404231549395"/>
  </r>
  <r>
    <d v="2024-02-21T00:00:00"/>
    <s v="AD004"/>
    <x v="0"/>
    <x v="0"/>
    <s v="22–27 Age"/>
    <n v="236532"/>
    <n v="17823"/>
    <n v="2773"/>
    <n v="1664"/>
    <n v="752"/>
    <n v="209088.36"/>
    <n v="2447521.69"/>
    <s v="Pan India"/>
    <n v="7.5351326670387087"/>
    <n v="11.731378555798686"/>
    <n v="15.558547943668295"/>
    <n v="278.04303191489362"/>
    <n v="11.705681224913716"/>
  </r>
  <r>
    <d v="2024-02-22T00:00:00"/>
    <s v="AD004"/>
    <x v="0"/>
    <x v="0"/>
    <s v="17–21 Age"/>
    <n v="279307"/>
    <n v="12903"/>
    <n v="2336"/>
    <n v="1311"/>
    <n v="548"/>
    <n v="265211.11"/>
    <n v="3931415.84"/>
    <s v="North India"/>
    <n v="4.6196479143021838"/>
    <n v="20.554220723862667"/>
    <n v="18.104316825544448"/>
    <n v="483.96187956204375"/>
    <n v="14.823722279206176"/>
  </r>
  <r>
    <d v="2024-02-23T00:00:00"/>
    <s v="AD004"/>
    <x v="0"/>
    <x v="0"/>
    <s v="17–21 Age"/>
    <n v="51984"/>
    <n v="2911"/>
    <n v="604"/>
    <n v="374"/>
    <n v="222"/>
    <n v="27007.8"/>
    <n v="1729748.62"/>
    <s v="South India"/>
    <n v="5.5997999384425974"/>
    <n v="9.277842665750601"/>
    <n v="20.748883545173481"/>
    <n v="121.65675675675675"/>
    <n v="64.046261450395818"/>
  </r>
  <r>
    <d v="2024-02-24T00:00:00"/>
    <s v="AD004"/>
    <x v="0"/>
    <x v="0"/>
    <s v="25–35 Age"/>
    <n v="103947"/>
    <n v="7149"/>
    <n v="1414"/>
    <n v="811"/>
    <n v="375"/>
    <n v="55023.96"/>
    <n v="1623225.67"/>
    <s v="South India"/>
    <n v="6.8775433634448326"/>
    <n v="7.6967352077213596"/>
    <n v="19.778990068541056"/>
    <n v="146.73056"/>
    <n v="29.500342578033276"/>
  </r>
  <r>
    <d v="2024-02-25T00:00:00"/>
    <s v="AD004"/>
    <x v="0"/>
    <x v="0"/>
    <s v="22–27 Age"/>
    <n v="61783"/>
    <n v="3786"/>
    <n v="675"/>
    <n v="431"/>
    <n v="230"/>
    <n v="48713"/>
    <n v="1095170.8600000001"/>
    <s v="East India"/>
    <n v="6.1278992603143259"/>
    <n v="12.86661384046487"/>
    <n v="17.828843106180667"/>
    <n v="211.79565217391306"/>
    <n v="22.482106624515019"/>
  </r>
  <r>
    <d v="2024-02-26T00:00:00"/>
    <s v="AD004"/>
    <x v="0"/>
    <x v="0"/>
    <s v="25–35 Age"/>
    <n v="211522"/>
    <n v="8146"/>
    <n v="1649"/>
    <n v="828"/>
    <n v="347"/>
    <n v="139232"/>
    <n v="1343595.62"/>
    <s v="East India"/>
    <n v="3.851136052041868"/>
    <n v="17.092069727473607"/>
    <n v="20.243064080530321"/>
    <n v="401.24495677233432"/>
    <n v="9.6500489829924163"/>
  </r>
  <r>
    <d v="2024-02-27T00:00:00"/>
    <s v="AD004"/>
    <x v="0"/>
    <x v="0"/>
    <s v="22–27 Age"/>
    <n v="55880"/>
    <n v="1910"/>
    <n v="340"/>
    <n v="220"/>
    <n v="103"/>
    <n v="40730.480000000003"/>
    <n v="486883.69"/>
    <s v="South India"/>
    <n v="3.4180386542591266"/>
    <n v="21.324858638743457"/>
    <n v="17.801047120418847"/>
    <n v="395.44155339805826"/>
    <n v="11.953792098693656"/>
  </r>
  <r>
    <d v="2024-02-28T00:00:00"/>
    <s v="AD004"/>
    <x v="0"/>
    <x v="0"/>
    <s v="17–21 Age"/>
    <n v="167535"/>
    <n v="11504"/>
    <n v="2177"/>
    <n v="1304"/>
    <n v="556"/>
    <n v="110296.86"/>
    <n v="4174012.5"/>
    <s v="West India"/>
    <n v="6.8666248843525235"/>
    <n v="9.58769645340751"/>
    <n v="18.923852573018081"/>
    <n v="198.37564748201439"/>
    <n v="37.843439060731193"/>
  </r>
  <r>
    <d v="2024-02-29T00:00:00"/>
    <s v="AD004"/>
    <x v="0"/>
    <x v="0"/>
    <s v="25–35 Age"/>
    <n v="206944"/>
    <n v="15993"/>
    <n v="2610"/>
    <n v="1657"/>
    <n v="747"/>
    <n v="170089.29"/>
    <n v="2704688.17"/>
    <s v="West India"/>
    <n v="7.7281776712540591"/>
    <n v="10.635233539673608"/>
    <n v="16.319639842431062"/>
    <n v="227.69650602409641"/>
    <n v="15.901578341587527"/>
  </r>
  <r>
    <d v="2024-03-01T00:00:00"/>
    <s v="AD001"/>
    <x v="1"/>
    <x v="1"/>
    <s v="17–21 Age"/>
    <n v="86043"/>
    <n v="5121"/>
    <n v="1032"/>
    <n v="663"/>
    <n v="383"/>
    <n v="84842.240000000005"/>
    <n v="2067523.93"/>
    <s v="Pan India"/>
    <n v="5.9516753251281331"/>
    <n v="16.567514157391134"/>
    <n v="20.152314001171646"/>
    <n v="221.5202088772846"/>
    <n v="24.36903987919225"/>
  </r>
  <r>
    <d v="2024-03-01T00:00:00"/>
    <s v="AD004"/>
    <x v="0"/>
    <x v="0"/>
    <s v="22–27 Age"/>
    <n v="238624"/>
    <n v="16826"/>
    <n v="3034"/>
    <n v="1553"/>
    <n v="882"/>
    <n v="121439.76"/>
    <n v="5523179.9500000002"/>
    <s v="East India"/>
    <n v="7.0512605605471377"/>
    <n v="7.2173873766789489"/>
    <n v="18.031617734458578"/>
    <n v="137.68680272108844"/>
    <n v="45.480820696615346"/>
  </r>
  <r>
    <d v="2024-03-02T00:00:00"/>
    <s v="AD001"/>
    <x v="1"/>
    <x v="1"/>
    <s v="17–21 Age"/>
    <n v="106383"/>
    <n v="8132"/>
    <n v="1989"/>
    <n v="1180"/>
    <n v="597"/>
    <n v="68120.59"/>
    <n v="4167141.49"/>
    <s v="South India"/>
    <n v="7.6440784711843053"/>
    <n v="8.3768556320708303"/>
    <n v="24.458927693064435"/>
    <n v="114.10484087102176"/>
    <n v="61.173009364716314"/>
  </r>
  <r>
    <d v="2024-03-02T00:00:00"/>
    <s v="AD004"/>
    <x v="0"/>
    <x v="0"/>
    <s v="25–35 Age"/>
    <n v="137353"/>
    <n v="10177"/>
    <n v="1561"/>
    <n v="926"/>
    <n v="440"/>
    <n v="62507.3"/>
    <n v="2300981.91"/>
    <s v="Pan India"/>
    <n v="7.4093758418090614"/>
    <n v="6.1420163112901642"/>
    <n v="15.338508401297043"/>
    <n v="142.06204545454545"/>
    <n v="36.811410987196695"/>
  </r>
  <r>
    <d v="2024-03-03T00:00:00"/>
    <s v="AD001"/>
    <x v="1"/>
    <x v="1"/>
    <s v="17–21 Age"/>
    <n v="190183"/>
    <n v="9911"/>
    <n v="2343"/>
    <n v="1331"/>
    <n v="712"/>
    <n v="170515"/>
    <n v="2633312.2000000002"/>
    <s v="North India"/>
    <n v="5.2112964881193378"/>
    <n v="17.204621128039552"/>
    <n v="23.640399556048834"/>
    <n v="239.48735955056179"/>
    <n v="15.443287687300238"/>
  </r>
  <r>
    <d v="2024-03-03T00:00:00"/>
    <s v="AD004"/>
    <x v="0"/>
    <x v="0"/>
    <s v="17–21 Age"/>
    <n v="248339"/>
    <n v="16962"/>
    <n v="3496"/>
    <n v="1806"/>
    <n v="789"/>
    <n v="175686.39999999999"/>
    <n v="2908345.21"/>
    <s v="East India"/>
    <n v="6.8301797140199492"/>
    <n v="10.357646503950006"/>
    <n v="20.610777031010493"/>
    <n v="222.66970849176172"/>
    <n v="16.554185241430186"/>
  </r>
  <r>
    <d v="2024-03-04T00:00:00"/>
    <s v="AD001"/>
    <x v="1"/>
    <x v="1"/>
    <s v="17–21 Age"/>
    <n v="151825"/>
    <n v="7293"/>
    <n v="1728"/>
    <n v="1114"/>
    <n v="497"/>
    <n v="76965.64"/>
    <n v="3527269.49"/>
    <s v="West India"/>
    <n v="4.8035567264943193"/>
    <n v="10.553358014534485"/>
    <n v="23.69395310571781"/>
    <n v="154.8604426559356"/>
    <n v="45.829145187384917"/>
  </r>
  <r>
    <d v="2024-03-04T00:00:00"/>
    <s v="AD004"/>
    <x v="0"/>
    <x v="0"/>
    <s v="17–21 Age"/>
    <n v="56983"/>
    <n v="2037"/>
    <n v="418"/>
    <n v="208"/>
    <n v="123"/>
    <n v="53251.91"/>
    <n v="737803.26"/>
    <s v="Pan India"/>
    <n v="3.574750364143692"/>
    <n v="26.14232204221895"/>
    <n v="20.520373097692683"/>
    <n v="432.94235772357729"/>
    <n v="13.854963324320197"/>
  </r>
  <r>
    <d v="2024-03-05T00:00:00"/>
    <s v="AD001"/>
    <x v="1"/>
    <x v="1"/>
    <s v="17–21 Age"/>
    <n v="70110"/>
    <n v="3013"/>
    <n v="750"/>
    <n v="468"/>
    <n v="238"/>
    <n v="52948"/>
    <n v="1892177.59"/>
    <s v="South India"/>
    <n v="4.2975324490087008"/>
    <n v="17.573182874211749"/>
    <n v="24.892134085628943"/>
    <n v="222.47058823529412"/>
    <n v="35.736526214399035"/>
  </r>
  <r>
    <d v="2024-03-05T00:00:00"/>
    <s v="AD004"/>
    <x v="0"/>
    <x v="0"/>
    <s v="22–27 Age"/>
    <n v="161034"/>
    <n v="5095"/>
    <n v="881"/>
    <n v="462"/>
    <n v="224"/>
    <n v="84019.32"/>
    <n v="923164.11"/>
    <s v="South India"/>
    <n v="3.1639281145596581"/>
    <n v="16.490543670264966"/>
    <n v="17.291462217860648"/>
    <n v="375.08625000000001"/>
    <n v="10.98752179855776"/>
  </r>
  <r>
    <d v="2024-03-06T00:00:00"/>
    <s v="AD001"/>
    <x v="1"/>
    <x v="1"/>
    <s v="17–21 Age"/>
    <n v="127872"/>
    <n v="7698"/>
    <n v="1526"/>
    <n v="763"/>
    <n v="381"/>
    <n v="116041.16"/>
    <n v="2303108.0099999998"/>
    <s v="Pan India"/>
    <n v="6.0200825825825826"/>
    <n v="15.074195895037672"/>
    <n v="19.823330735255912"/>
    <n v="304.56997375328086"/>
    <n v="19.847337013866458"/>
  </r>
  <r>
    <d v="2024-03-06T00:00:00"/>
    <s v="AD004"/>
    <x v="0"/>
    <x v="0"/>
    <s v="17–21 Age"/>
    <n v="207444"/>
    <n v="12055"/>
    <n v="2103"/>
    <n v="1256"/>
    <n v="542"/>
    <n v="112399.62"/>
    <n v="2091662.03"/>
    <s v="North India"/>
    <n v="5.8112068799290411"/>
    <n v="9.3239004562422227"/>
    <n v="17.445043550394026"/>
    <n v="207.37937269372694"/>
    <n v="18.609155707110041"/>
  </r>
  <r>
    <d v="2024-03-07T00:00:00"/>
    <s v="AD001"/>
    <x v="1"/>
    <x v="1"/>
    <s v="17–21 Age"/>
    <n v="125458"/>
    <n v="8435"/>
    <n v="1509"/>
    <n v="693"/>
    <n v="366"/>
    <n v="66260.179999999993"/>
    <n v="2398363.29"/>
    <s v="West India"/>
    <n v="6.7233655884837953"/>
    <n v="7.8553858921161819"/>
    <n v="17.889745109662123"/>
    <n v="181.03874316939888"/>
    <n v="36.196148123956199"/>
  </r>
  <r>
    <d v="2024-03-07T00:00:00"/>
    <s v="AD004"/>
    <x v="0"/>
    <x v="0"/>
    <s v="25–35 Age"/>
    <n v="125186"/>
    <n v="5438"/>
    <n v="1013"/>
    <n v="516"/>
    <n v="288"/>
    <n v="70257.17"/>
    <n v="1655474.48"/>
    <s v="East India"/>
    <n v="4.3439362229003242"/>
    <n v="12.919670834865759"/>
    <n v="18.628172122103713"/>
    <n v="243.94850694444443"/>
    <n v="23.563068082588583"/>
  </r>
  <r>
    <d v="2024-03-08T00:00:00"/>
    <s v="AD001"/>
    <x v="1"/>
    <x v="1"/>
    <s v="17–21 Age"/>
    <n v="52749"/>
    <n v="3113"/>
    <n v="594"/>
    <n v="267"/>
    <n v="132"/>
    <n v="47097.46"/>
    <n v="644765.61"/>
    <s v="West India"/>
    <n v="5.9015336783635703"/>
    <n v="15.129283649212978"/>
    <n v="19.081272084805654"/>
    <n v="356.79893939393941"/>
    <n v="13.690029356147869"/>
  </r>
  <r>
    <d v="2024-03-08T00:00:00"/>
    <s v="AD004"/>
    <x v="0"/>
    <x v="0"/>
    <s v="17–21 Age"/>
    <n v="153379"/>
    <n v="7139"/>
    <n v="1663"/>
    <n v="957"/>
    <n v="429"/>
    <n v="102014.36"/>
    <n v="1463624.77"/>
    <s v="South India"/>
    <n v="4.654483338657835"/>
    <n v="14.289726852500351"/>
    <n v="23.294579072699257"/>
    <n v="237.79571095571094"/>
    <n v="14.347242584279311"/>
  </r>
  <r>
    <d v="2024-03-09T00:00:00"/>
    <s v="AD001"/>
    <x v="1"/>
    <x v="1"/>
    <s v="17–21 Age"/>
    <n v="55614"/>
    <n v="3540"/>
    <n v="572"/>
    <n v="343"/>
    <n v="154"/>
    <n v="36078.71"/>
    <n v="646246.86"/>
    <s v="North India"/>
    <n v="6.3653037005070665"/>
    <n v="10.191725988700565"/>
    <n v="16.158192090395477"/>
    <n v="234.27733766233766"/>
    <n v="17.912138765493555"/>
  </r>
  <r>
    <d v="2024-03-09T00:00:00"/>
    <s v="AD004"/>
    <x v="0"/>
    <x v="0"/>
    <s v="17–21 Age"/>
    <n v="123685"/>
    <n v="8520"/>
    <n v="2108"/>
    <n v="1010"/>
    <n v="406"/>
    <n v="122048.41"/>
    <n v="1454477.2"/>
    <s v="South India"/>
    <n v="6.8884666693616854"/>
    <n v="14.32493075117371"/>
    <n v="24.741784037558688"/>
    <n v="300.61184729064041"/>
    <n v="11.917215472122905"/>
  </r>
  <r>
    <d v="2024-03-10T00:00:00"/>
    <s v="AD001"/>
    <x v="1"/>
    <x v="1"/>
    <s v="17–21 Age"/>
    <n v="160586"/>
    <n v="9019"/>
    <n v="1457"/>
    <n v="790"/>
    <n v="427"/>
    <n v="118320.36"/>
    <n v="2536804.91"/>
    <s v="North India"/>
    <n v="5.6163052819050225"/>
    <n v="13.119010976826699"/>
    <n v="16.154784344162323"/>
    <n v="277.09686182669788"/>
    <n v="21.440138535751583"/>
  </r>
  <r>
    <d v="2024-03-10T00:00:00"/>
    <s v="AD004"/>
    <x v="0"/>
    <x v="0"/>
    <s v="25–35 Age"/>
    <n v="226639"/>
    <n v="12635"/>
    <n v="2302"/>
    <n v="1218"/>
    <n v="650"/>
    <n v="199476.34"/>
    <n v="3964941.02"/>
    <s v="Pan India"/>
    <n v="5.574945177131915"/>
    <n v="15.787601108033241"/>
    <n v="18.219232291254453"/>
    <n v="306.88667692307689"/>
    <n v="19.87674839031035"/>
  </r>
  <r>
    <d v="2024-03-11T00:00:00"/>
    <s v="AD001"/>
    <x v="1"/>
    <x v="1"/>
    <s v="17–21 Age"/>
    <n v="73407"/>
    <n v="5606"/>
    <n v="883"/>
    <n v="498"/>
    <n v="256"/>
    <n v="70482.990000000005"/>
    <n v="1018845.71"/>
    <s v="West India"/>
    <n v="7.6368738676148045"/>
    <n v="12.572777381377097"/>
    <n v="15.750981091687477"/>
    <n v="275.32417968750002"/>
    <n v="14.45519990000424"/>
  </r>
  <r>
    <d v="2024-03-11T00:00:00"/>
    <s v="AD004"/>
    <x v="0"/>
    <x v="0"/>
    <s v="22–27 Age"/>
    <n v="213309"/>
    <n v="8042"/>
    <n v="1913"/>
    <n v="1209"/>
    <n v="533"/>
    <n v="164269.5"/>
    <n v="4063881.15"/>
    <s v="North India"/>
    <n v="3.7701175290306552"/>
    <n v="20.426448644615768"/>
    <n v="23.787615021139018"/>
    <n v="308.19793621013133"/>
    <n v="24.739109512112716"/>
  </r>
  <r>
    <d v="2024-03-12T00:00:00"/>
    <s v="AD001"/>
    <x v="1"/>
    <x v="1"/>
    <s v="17–21 Age"/>
    <n v="216597"/>
    <n v="15507"/>
    <n v="2335"/>
    <n v="1445"/>
    <n v="726"/>
    <n v="192461.62"/>
    <n v="2305973.39"/>
    <s v="North India"/>
    <n v="7.1593789387664657"/>
    <n v="12.411273618365898"/>
    <n v="15.057715870252144"/>
    <n v="265.09865013774106"/>
    <n v="11.981471370759532"/>
  </r>
  <r>
    <d v="2024-03-12T00:00:00"/>
    <s v="AD004"/>
    <x v="0"/>
    <x v="0"/>
    <s v="25–35 Age"/>
    <n v="226506"/>
    <n v="7970"/>
    <n v="1292"/>
    <n v="750"/>
    <n v="420"/>
    <n v="175994.8"/>
    <n v="2066586.58"/>
    <s v="Pan India"/>
    <n v="3.5186705870926156"/>
    <n v="22.082158092848179"/>
    <n v="16.210790464240905"/>
    <n v="419.03523809523807"/>
    <n v="11.742316136613129"/>
  </r>
  <r>
    <d v="2024-03-13T00:00:00"/>
    <s v="AD001"/>
    <x v="1"/>
    <x v="1"/>
    <s v="17–21 Age"/>
    <n v="175194"/>
    <n v="5344"/>
    <n v="957"/>
    <n v="551"/>
    <n v="261"/>
    <n v="169204.3"/>
    <n v="976767.04"/>
    <s v="West India"/>
    <n v="3.0503327739534458"/>
    <n v="31.662481287425152"/>
    <n v="17.907934131736528"/>
    <n v="648.29233716475096"/>
    <n v="5.7727081403959595"/>
  </r>
  <r>
    <d v="2024-03-13T00:00:00"/>
    <s v="AD004"/>
    <x v="0"/>
    <x v="0"/>
    <s v="22–27 Age"/>
    <n v="185895"/>
    <n v="10159"/>
    <n v="1559"/>
    <n v="796"/>
    <n v="319"/>
    <n v="152446.60999999999"/>
    <n v="2203003.63"/>
    <s v="East India"/>
    <n v="5.4649129885150218"/>
    <n v="15.006064573284771"/>
    <n v="15.345998621911605"/>
    <n v="477.88905956112848"/>
    <n v="14.450984708679321"/>
  </r>
  <r>
    <d v="2024-03-14T00:00:00"/>
    <s v="AD001"/>
    <x v="1"/>
    <x v="1"/>
    <s v="17–21 Age"/>
    <n v="188495"/>
    <n v="10549"/>
    <n v="1800"/>
    <n v="1004"/>
    <n v="441"/>
    <n v="182807.04000000001"/>
    <n v="2268459.2400000002"/>
    <s v="West India"/>
    <n v="5.5964349186981091"/>
    <n v="17.329324106550384"/>
    <n v="17.063228742060861"/>
    <n v="414.52843537414969"/>
    <n v="12.409036544763266"/>
  </r>
  <r>
    <d v="2024-03-14T00:00:00"/>
    <s v="AD004"/>
    <x v="0"/>
    <x v="0"/>
    <s v="22–27 Age"/>
    <n v="61348"/>
    <n v="4749"/>
    <n v="863"/>
    <n v="560"/>
    <n v="278"/>
    <n v="41334.61"/>
    <n v="2016292.77"/>
    <s v="Pan India"/>
    <n v="7.7410836539088477"/>
    <n v="8.7038555485365343"/>
    <n v="18.17224678879764"/>
    <n v="148.68564748201439"/>
    <n v="48.779770028070907"/>
  </r>
  <r>
    <d v="2024-03-15T00:00:00"/>
    <s v="AD001"/>
    <x v="1"/>
    <x v="1"/>
    <s v="17–21 Age"/>
    <n v="100344"/>
    <n v="8008"/>
    <n v="1473"/>
    <n v="816"/>
    <n v="424"/>
    <n v="77929.710000000006"/>
    <n v="1344335.07"/>
    <s v="East India"/>
    <n v="7.980546918600016"/>
    <n v="9.7314822677322681"/>
    <n v="18.394105894105895"/>
    <n v="183.79648584905661"/>
    <n v="17.250610453959087"/>
  </r>
  <r>
    <d v="2024-03-15T00:00:00"/>
    <s v="AD004"/>
    <x v="0"/>
    <x v="0"/>
    <s v="22–27 Age"/>
    <n v="194652"/>
    <n v="12957"/>
    <n v="2628"/>
    <n v="1452"/>
    <n v="793"/>
    <n v="188268.91"/>
    <n v="5847270.2300000004"/>
    <s v="East India"/>
    <n v="6.6564946674064487"/>
    <n v="14.530285559928997"/>
    <n v="20.282472794628386"/>
    <n v="237.41350567465321"/>
    <n v="31.058076609674959"/>
  </r>
  <r>
    <d v="2024-03-16T00:00:00"/>
    <s v="AD001"/>
    <x v="1"/>
    <x v="1"/>
    <s v="17–21 Age"/>
    <n v="275868"/>
    <n v="10436"/>
    <n v="1877"/>
    <n v="1023"/>
    <n v="453"/>
    <n v="133644.66"/>
    <n v="2895845.33"/>
    <s v="West India"/>
    <n v="3.782968666173677"/>
    <n v="12.806119202759678"/>
    <n v="17.985818321195861"/>
    <n v="295.02132450331129"/>
    <n v="21.668245704691831"/>
  </r>
  <r>
    <d v="2024-03-16T00:00:00"/>
    <s v="AD004"/>
    <x v="0"/>
    <x v="0"/>
    <s v="22–27 Age"/>
    <n v="144241"/>
    <n v="6954"/>
    <n v="1273"/>
    <n v="706"/>
    <n v="292"/>
    <n v="70141.8"/>
    <n v="1034342.01"/>
    <s v="East India"/>
    <n v="4.8210980234468703"/>
    <n v="10.086540120793789"/>
    <n v="18.306010928961751"/>
    <n v="240.21164383561646"/>
    <n v="14.746442349640299"/>
  </r>
  <r>
    <d v="2024-03-17T00:00:00"/>
    <s v="AD001"/>
    <x v="1"/>
    <x v="1"/>
    <s v="17–21 Age"/>
    <n v="292584"/>
    <n v="23331"/>
    <n v="3605"/>
    <n v="1899"/>
    <n v="921"/>
    <n v="169598.15"/>
    <n v="3162278.82"/>
    <s v="West India"/>
    <n v="7.9741202526453945"/>
    <n v="7.269219064763619"/>
    <n v="15.451545154515451"/>
    <n v="184.14565689467969"/>
    <n v="18.645715298191636"/>
  </r>
  <r>
    <d v="2024-03-17T00:00:00"/>
    <s v="AD004"/>
    <x v="0"/>
    <x v="0"/>
    <s v="25–35 Age"/>
    <n v="117460"/>
    <n v="8173"/>
    <n v="1756"/>
    <n v="887"/>
    <n v="365"/>
    <n v="93791.14"/>
    <n v="1580107.16"/>
    <s v="South India"/>
    <n v="6.9581134003064875"/>
    <n v="11.47572984216322"/>
    <n v="21.485378685917045"/>
    <n v="256.96202739726027"/>
    <n v="16.847083423871378"/>
  </r>
  <r>
    <d v="2024-03-18T00:00:00"/>
    <s v="AD001"/>
    <x v="1"/>
    <x v="1"/>
    <s v="17–21 Age"/>
    <n v="160356"/>
    <n v="10619"/>
    <n v="2317"/>
    <n v="1167"/>
    <n v="687"/>
    <n v="89639.34"/>
    <n v="4671783.2"/>
    <s v="South India"/>
    <n v="6.6221407368604854"/>
    <n v="8.4414106789716534"/>
    <n v="21.819380355965723"/>
    <n v="130.47938864628821"/>
    <n v="52.117554636167561"/>
  </r>
  <r>
    <d v="2024-03-18T00:00:00"/>
    <s v="AD004"/>
    <x v="0"/>
    <x v="0"/>
    <s v="17–21 Age"/>
    <n v="58163"/>
    <n v="3769"/>
    <n v="797"/>
    <n v="395"/>
    <n v="178"/>
    <n v="25554.54"/>
    <n v="1293768.1399999999"/>
    <s v="North India"/>
    <n v="6.4800646459089117"/>
    <n v="6.7801910321040069"/>
    <n v="21.146192624038207"/>
    <n v="143.56483146067416"/>
    <n v="50.627721727724307"/>
  </r>
  <r>
    <d v="2024-03-19T00:00:00"/>
    <s v="AD001"/>
    <x v="1"/>
    <x v="1"/>
    <s v="17–21 Age"/>
    <n v="172256"/>
    <n v="8896"/>
    <n v="2048"/>
    <n v="985"/>
    <n v="576"/>
    <n v="152568.15"/>
    <n v="1915389.82"/>
    <s v="East India"/>
    <n v="5.1644064647965813"/>
    <n v="17.150196717625899"/>
    <n v="23.021582733812952"/>
    <n v="264.87526041666666"/>
    <n v="12.554322904223458"/>
  </r>
  <r>
    <d v="2024-03-19T00:00:00"/>
    <s v="AD004"/>
    <x v="0"/>
    <x v="0"/>
    <s v="17–21 Age"/>
    <n v="258133"/>
    <n v="14755"/>
    <n v="2438"/>
    <n v="1536"/>
    <n v="617"/>
    <n v="103655.55"/>
    <n v="4524608.51"/>
    <s v="South India"/>
    <n v="5.716045604397733"/>
    <n v="7.0251135208403932"/>
    <n v="16.523212470349034"/>
    <n v="167.99927066450567"/>
    <n v="43.650422095102478"/>
  </r>
  <r>
    <d v="2024-03-20T00:00:00"/>
    <s v="AD001"/>
    <x v="1"/>
    <x v="1"/>
    <s v="17–21 Age"/>
    <n v="203648"/>
    <n v="8947"/>
    <n v="1995"/>
    <n v="1108"/>
    <n v="625"/>
    <n v="126623.75"/>
    <n v="3738989.85"/>
    <s v="South India"/>
    <n v="4.3933650219987426"/>
    <n v="14.152648932603107"/>
    <n v="22.29797697552252"/>
    <n v="202.59800000000001"/>
    <n v="29.528345590775825"/>
  </r>
  <r>
    <d v="2024-03-20T00:00:00"/>
    <s v="AD004"/>
    <x v="0"/>
    <x v="0"/>
    <s v="22–27 Age"/>
    <n v="219527"/>
    <n v="10693"/>
    <n v="1929"/>
    <n v="990"/>
    <n v="415"/>
    <n v="203424"/>
    <n v="2119680.17"/>
    <s v="South India"/>
    <n v="4.8709270385875092"/>
    <n v="19.024034415037875"/>
    <n v="18.039839147105582"/>
    <n v="490.17831325301205"/>
    <n v="10.420010274107282"/>
  </r>
  <r>
    <d v="2024-03-21T00:00:00"/>
    <s v="AD001"/>
    <x v="1"/>
    <x v="1"/>
    <s v="17–21 Age"/>
    <n v="85480"/>
    <n v="4749"/>
    <n v="1166"/>
    <n v="617"/>
    <n v="295"/>
    <n v="77652.63"/>
    <n v="1845721.68"/>
    <s v="North India"/>
    <n v="5.5556855404773042"/>
    <n v="16.35136449778901"/>
    <n v="24.552537376289745"/>
    <n v="263.22925423728816"/>
    <n v="23.768952577652552"/>
  </r>
  <r>
    <d v="2024-03-21T00:00:00"/>
    <s v="AD004"/>
    <x v="0"/>
    <x v="0"/>
    <s v="17–21 Age"/>
    <n v="284030"/>
    <n v="14236"/>
    <n v="2183"/>
    <n v="1152"/>
    <n v="592"/>
    <n v="262334.25"/>
    <n v="2663779.71"/>
    <s v="North India"/>
    <n v="5.0121466042319467"/>
    <n v="18.427525288002247"/>
    <n v="15.334363585276764"/>
    <n v="443.13217905405406"/>
    <n v="10.154143845113628"/>
  </r>
  <r>
    <d v="2024-03-22T00:00:00"/>
    <s v="AD001"/>
    <x v="1"/>
    <x v="1"/>
    <s v="17–21 Age"/>
    <n v="298776"/>
    <n v="13733"/>
    <n v="2795"/>
    <n v="1309"/>
    <n v="703"/>
    <n v="212229.85"/>
    <n v="5350895.5999999996"/>
    <s v="West India"/>
    <n v="4.5964200605135623"/>
    <n v="15.454004951576495"/>
    <n v="20.352435738731522"/>
    <n v="301.89167852062587"/>
    <n v="25.212737981956824"/>
  </r>
  <r>
    <d v="2024-03-22T00:00:00"/>
    <s v="AD004"/>
    <x v="0"/>
    <x v="0"/>
    <s v="22–27 Age"/>
    <n v="64434"/>
    <n v="3679"/>
    <n v="729"/>
    <n v="397"/>
    <n v="235"/>
    <n v="59041.52"/>
    <n v="1242049.05"/>
    <s v="Pan India"/>
    <n v="5.709718471614365"/>
    <n v="16.048252242457188"/>
    <n v="19.815167164990484"/>
    <n v="251.24051063829785"/>
    <n v="21.036874558785073"/>
  </r>
  <r>
    <d v="2024-03-23T00:00:00"/>
    <s v="AD001"/>
    <x v="1"/>
    <x v="1"/>
    <s v="17–21 Age"/>
    <n v="245366"/>
    <n v="12959"/>
    <n v="2802"/>
    <n v="1515"/>
    <n v="836"/>
    <n v="241060.05"/>
    <n v="6091993.9299999997"/>
    <s v="North India"/>
    <n v="5.2814978440370712"/>
    <n v="18.601747820047841"/>
    <n v="21.62203873755691"/>
    <n v="288.34934210526313"/>
    <n v="25.271686162846144"/>
  </r>
  <r>
    <d v="2024-03-23T00:00:00"/>
    <s v="AD004"/>
    <x v="0"/>
    <x v="0"/>
    <s v="25–35 Age"/>
    <n v="53724"/>
    <n v="1683"/>
    <n v="344"/>
    <n v="159"/>
    <n v="73"/>
    <n v="49801.33"/>
    <n v="513709.91"/>
    <s v="South India"/>
    <n v="3.1326781326781328"/>
    <n v="29.590808080808081"/>
    <n v="20.439691027926322"/>
    <n v="682.21"/>
    <n v="10.315184554308086"/>
  </r>
  <r>
    <d v="2024-03-24T00:00:00"/>
    <s v="AD001"/>
    <x v="1"/>
    <x v="1"/>
    <s v="17–21 Age"/>
    <n v="240769"/>
    <n v="8468"/>
    <n v="1835"/>
    <n v="987"/>
    <n v="400"/>
    <n v="145335.12"/>
    <n v="2921642.34"/>
    <s v="South India"/>
    <n v="3.5170640738633296"/>
    <n v="17.162862541332075"/>
    <n v="21.669815777042984"/>
    <n v="363.33780000000002"/>
    <n v="20.10279648855693"/>
  </r>
  <r>
    <d v="2024-03-24T00:00:00"/>
    <s v="AD004"/>
    <x v="0"/>
    <x v="0"/>
    <s v="17–21 Age"/>
    <n v="79876"/>
    <n v="4171"/>
    <n v="757"/>
    <n v="434"/>
    <n v="226"/>
    <n v="75946.350000000006"/>
    <n v="1660035.68"/>
    <s v="North India"/>
    <n v="5.2218438579798683"/>
    <n v="18.208187485015586"/>
    <n v="18.149124910093501"/>
    <n v="336.04579646017703"/>
    <n v="21.858004762572524"/>
  </r>
  <r>
    <d v="2024-03-25T00:00:00"/>
    <s v="AD001"/>
    <x v="1"/>
    <x v="1"/>
    <s v="17–21 Age"/>
    <n v="122186"/>
    <n v="5865"/>
    <n v="1463"/>
    <n v="777"/>
    <n v="313"/>
    <n v="54949.89"/>
    <n v="1100080.07"/>
    <s v="South India"/>
    <n v="4.8000589265545974"/>
    <n v="9.3691202046035809"/>
    <n v="24.944586530264278"/>
    <n v="175.55875399361022"/>
    <n v="20.01969558082828"/>
  </r>
  <r>
    <d v="2024-03-25T00:00:00"/>
    <s v="AD004"/>
    <x v="0"/>
    <x v="0"/>
    <s v="17–21 Age"/>
    <n v="199247"/>
    <n v="9891"/>
    <n v="2264"/>
    <n v="1217"/>
    <n v="616"/>
    <n v="105185.38"/>
    <n v="4785145.21"/>
    <s v="East India"/>
    <n v="4.9641901760126883"/>
    <n v="10.634453543625519"/>
    <n v="22.889495500960468"/>
    <n v="170.75548701298703"/>
    <n v="45.492493443480448"/>
  </r>
  <r>
    <d v="2024-03-26T00:00:00"/>
    <s v="AD001"/>
    <x v="1"/>
    <x v="1"/>
    <s v="17–21 Age"/>
    <n v="274044"/>
    <n v="13557"/>
    <n v="2893"/>
    <n v="1644"/>
    <n v="828"/>
    <n v="131707.57999999999"/>
    <n v="6173759.6799999997"/>
    <s v="North India"/>
    <n v="4.9470158076805184"/>
    <n v="9.7150977354872019"/>
    <n v="21.339529394408792"/>
    <n v="159.06712560386472"/>
    <n v="46.874748438928115"/>
  </r>
  <r>
    <d v="2024-03-26T00:00:00"/>
    <s v="AD004"/>
    <x v="0"/>
    <x v="0"/>
    <s v="22–27 Age"/>
    <n v="244500"/>
    <n v="9131"/>
    <n v="2098"/>
    <n v="1346"/>
    <n v="655"/>
    <n v="146175.82"/>
    <n v="3464551.93"/>
    <s v="East India"/>
    <n v="3.7345603271983641"/>
    <n v="16.00874164932647"/>
    <n v="22.976672872631696"/>
    <n v="223.16919083969466"/>
    <n v="23.701265571829868"/>
  </r>
  <r>
    <d v="2024-03-27T00:00:00"/>
    <s v="AD001"/>
    <x v="1"/>
    <x v="1"/>
    <s v="17–21 Age"/>
    <n v="75569"/>
    <n v="3044"/>
    <n v="699"/>
    <n v="363"/>
    <n v="210"/>
    <n v="43169.18"/>
    <n v="954211.72"/>
    <s v="Pan India"/>
    <n v="4.0281067633553445"/>
    <n v="14.181727989487516"/>
    <n v="22.963206307490143"/>
    <n v="205.56752380952381"/>
    <n v="22.10400382865739"/>
  </r>
  <r>
    <d v="2024-03-27T00:00:00"/>
    <s v="AD004"/>
    <x v="0"/>
    <x v="0"/>
    <s v="17–21 Age"/>
    <n v="62090"/>
    <n v="3649"/>
    <n v="636"/>
    <n v="301"/>
    <n v="174"/>
    <n v="58686.75"/>
    <n v="569195.34"/>
    <s v="South India"/>
    <n v="5.876952810436463"/>
    <n v="16.082967936420935"/>
    <n v="17.429432721293505"/>
    <n v="337.28017241379308"/>
    <n v="9.6988730846400593"/>
  </r>
  <r>
    <d v="2024-03-28T00:00:00"/>
    <s v="AD001"/>
    <x v="1"/>
    <x v="1"/>
    <s v="17–21 Age"/>
    <n v="151614"/>
    <n v="5544"/>
    <n v="1000"/>
    <n v="552"/>
    <n v="221"/>
    <n v="66293.7"/>
    <n v="838838.11"/>
    <s v="South India"/>
    <n v="3.6566543986703075"/>
    <n v="11.957738095238094"/>
    <n v="18.037518037518037"/>
    <n v="299.97149321266966"/>
    <n v="12.653360877428776"/>
  </r>
  <r>
    <d v="2024-03-28T00:00:00"/>
    <s v="AD004"/>
    <x v="0"/>
    <x v="0"/>
    <s v="17–21 Age"/>
    <n v="275576"/>
    <n v="19381"/>
    <n v="2993"/>
    <n v="1920"/>
    <n v="883"/>
    <n v="152033.82"/>
    <n v="2850575.87"/>
    <s v="Pan India"/>
    <n v="7.0329056231311871"/>
    <n v="7.8444775811361644"/>
    <n v="15.442959599607864"/>
    <n v="172.17873159682901"/>
    <n v="18.749616828676672"/>
  </r>
  <r>
    <d v="2024-03-29T00:00:00"/>
    <s v="AD001"/>
    <x v="1"/>
    <x v="1"/>
    <s v="17–21 Age"/>
    <n v="128767"/>
    <n v="7454"/>
    <n v="1142"/>
    <n v="540"/>
    <n v="253"/>
    <n v="99239.26"/>
    <n v="960812.07"/>
    <s v="West India"/>
    <n v="5.7887502232714905"/>
    <n v="13.313557821303997"/>
    <n v="15.320633217064664"/>
    <n v="392.2500395256917"/>
    <n v="9.6817738262054753"/>
  </r>
  <r>
    <d v="2024-03-29T00:00:00"/>
    <s v="AD004"/>
    <x v="0"/>
    <x v="0"/>
    <s v="25–35 Age"/>
    <n v="94022"/>
    <n v="2854"/>
    <n v="695"/>
    <n v="411"/>
    <n v="192"/>
    <n v="58116.78"/>
    <n v="1323997.7"/>
    <s v="North India"/>
    <n v="3.0354597860075305"/>
    <n v="20.363272599859844"/>
    <n v="24.351786965662228"/>
    <n v="302.69156249999997"/>
    <n v="22.781676823802005"/>
  </r>
  <r>
    <d v="2024-03-30T00:00:00"/>
    <s v="AD001"/>
    <x v="1"/>
    <x v="1"/>
    <s v="17–21 Age"/>
    <n v="168427"/>
    <n v="7496"/>
    <n v="1354"/>
    <n v="707"/>
    <n v="399"/>
    <n v="121004.62"/>
    <n v="2780010.07"/>
    <s v="North India"/>
    <n v="4.450592838440393"/>
    <n v="16.142558697972252"/>
    <n v="18.062966915688367"/>
    <n v="303.26972431077695"/>
    <n v="22.974412629864876"/>
  </r>
  <r>
    <d v="2024-03-30T00:00:00"/>
    <s v="AD004"/>
    <x v="0"/>
    <x v="0"/>
    <s v="17–21 Age"/>
    <n v="153437"/>
    <n v="5657"/>
    <n v="1049"/>
    <n v="519"/>
    <n v="211"/>
    <n v="147977.24"/>
    <n v="1161334.2"/>
    <s v="East India"/>
    <n v="3.6868551913814787"/>
    <n v="26.158253491249777"/>
    <n v="18.543397560544459"/>
    <n v="701.31393364928908"/>
    <n v="7.8480596070044291"/>
  </r>
  <r>
    <d v="2024-03-31T00:00:00"/>
    <s v="AD001"/>
    <x v="1"/>
    <x v="1"/>
    <s v="17–21 Age"/>
    <n v="80636"/>
    <n v="5687"/>
    <n v="1072"/>
    <n v="607"/>
    <n v="344"/>
    <n v="59284.93"/>
    <n v="2288813.48"/>
    <s v="East India"/>
    <n v="7.0526811845825685"/>
    <n v="10.424640407947951"/>
    <n v="18.850008791981711"/>
    <n v="172.33991279069767"/>
    <n v="38.607003162523768"/>
  </r>
  <r>
    <d v="2024-03-31T00:00:00"/>
    <s v="AD004"/>
    <x v="0"/>
    <x v="0"/>
    <s v="25–35 Age"/>
    <n v="158630"/>
    <n v="4927"/>
    <n v="822"/>
    <n v="475"/>
    <n v="264"/>
    <n v="141499.38"/>
    <n v="1140875.76"/>
    <s v="East India"/>
    <n v="3.1059698669860683"/>
    <n v="28.719175969149585"/>
    <n v="16.683580271970776"/>
    <n v="535.98250000000007"/>
    <n v="8.0627615470823972"/>
  </r>
  <r>
    <d v="2024-04-01T00:00:00"/>
    <s v="AD001"/>
    <x v="1"/>
    <x v="1"/>
    <s v="17–21 Age"/>
    <n v="186499"/>
    <n v="6536"/>
    <n v="1354"/>
    <n v="621"/>
    <n v="368"/>
    <n v="85229.02"/>
    <n v="2637713.85"/>
    <s v="West India"/>
    <n v="3.5045764320452122"/>
    <n v="13.039935740514077"/>
    <n v="20.716034271725825"/>
    <n v="231.60059782608695"/>
    <n v="30.948541353637527"/>
  </r>
  <r>
    <d v="2024-04-02T00:00:00"/>
    <s v="AD001"/>
    <x v="1"/>
    <x v="1"/>
    <s v="17–21 Age"/>
    <n v="280440"/>
    <n v="19647"/>
    <n v="3222"/>
    <n v="1784"/>
    <n v="885"/>
    <n v="254339"/>
    <n v="4246093.25"/>
    <s v="North India"/>
    <n v="7.005776636713736"/>
    <n v="12.945436962386115"/>
    <n v="16.399450297755383"/>
    <n v="287.38870056497177"/>
    <n v="16.694621155229832"/>
  </r>
  <r>
    <d v="2024-04-03T00:00:00"/>
    <s v="AD001"/>
    <x v="1"/>
    <x v="1"/>
    <s v="17–21 Age"/>
    <n v="79911"/>
    <n v="2837"/>
    <n v="458"/>
    <n v="283"/>
    <n v="153"/>
    <n v="34959.15"/>
    <n v="584662.54"/>
    <s v="South India"/>
    <n v="3.5501995970517202"/>
    <n v="12.322576665491717"/>
    <n v="16.143813887909765"/>
    <n v="228.49117647058824"/>
    <n v="16.724163487956659"/>
  </r>
  <r>
    <d v="2024-04-04T00:00:00"/>
    <s v="AD001"/>
    <x v="1"/>
    <x v="1"/>
    <s v="17–21 Age"/>
    <n v="274653"/>
    <n v="14146"/>
    <n v="2816"/>
    <n v="1386"/>
    <n v="561"/>
    <n v="208104.41"/>
    <n v="3892837.87"/>
    <s v="West India"/>
    <n v="5.1504989932751508"/>
    <n v="14.711184080305387"/>
    <n v="19.906687402799378"/>
    <n v="370.95260249554366"/>
    <n v="18.706176721579325"/>
  </r>
  <r>
    <d v="2024-04-05T00:00:00"/>
    <s v="AD001"/>
    <x v="1"/>
    <x v="1"/>
    <s v="17–21 Age"/>
    <n v="165340"/>
    <n v="10645"/>
    <n v="1684"/>
    <n v="807"/>
    <n v="389"/>
    <n v="129203.32"/>
    <n v="3018743.31"/>
    <s v="West India"/>
    <n v="6.4382484577234793"/>
    <n v="12.137465476749648"/>
    <n v="15.819633630812588"/>
    <n v="332.14221079691521"/>
    <n v="23.364285917730285"/>
  </r>
  <r>
    <d v="2024-04-06T00:00:00"/>
    <s v="AD001"/>
    <x v="1"/>
    <x v="1"/>
    <s v="17–21 Age"/>
    <n v="282778"/>
    <n v="15067"/>
    <n v="2772"/>
    <n v="1717"/>
    <n v="949"/>
    <n v="219848.01"/>
    <n v="5156798.93"/>
    <s v="West India"/>
    <n v="5.3282079935497109"/>
    <n v="14.591359261963232"/>
    <n v="18.397823057012015"/>
    <n v="231.662813487882"/>
    <n v="23.45620017210981"/>
  </r>
  <r>
    <d v="2024-04-07T00:00:00"/>
    <s v="AD001"/>
    <x v="1"/>
    <x v="1"/>
    <s v="17–21 Age"/>
    <n v="285987"/>
    <n v="22561"/>
    <n v="5121"/>
    <n v="2466"/>
    <n v="1091"/>
    <n v="146348.42000000001"/>
    <n v="3872314.53"/>
    <s v="Pan India"/>
    <n v="7.8888201211943203"/>
    <n v="6.4867878196888444"/>
    <n v="22.698461947608706"/>
    <n v="134.14153987167737"/>
    <n v="26.459558155803798"/>
  </r>
  <r>
    <d v="2024-04-08T00:00:00"/>
    <s v="AD001"/>
    <x v="1"/>
    <x v="1"/>
    <s v="17–21 Age"/>
    <n v="200034"/>
    <n v="14443"/>
    <n v="3338"/>
    <n v="1578"/>
    <n v="716"/>
    <n v="189341.96"/>
    <n v="5411518.9299999997"/>
    <s v="Pan India"/>
    <n v="7.2202725536658772"/>
    <n v="13.109600498511389"/>
    <n v="23.111541923423111"/>
    <n v="264.44407821229049"/>
    <n v="28.580663947917301"/>
  </r>
  <r>
    <d v="2024-04-09T00:00:00"/>
    <s v="AD001"/>
    <x v="1"/>
    <x v="1"/>
    <s v="17–21 Age"/>
    <n v="114098"/>
    <n v="4796"/>
    <n v="979"/>
    <n v="559"/>
    <n v="277"/>
    <n v="95244.65"/>
    <n v="1500707.12"/>
    <s v="Pan India"/>
    <n v="4.2034040912198281"/>
    <n v="19.859184737281065"/>
    <n v="20.412844036697248"/>
    <n v="343.84350180505413"/>
    <n v="15.756340329876798"/>
  </r>
  <r>
    <d v="2024-04-10T00:00:00"/>
    <s v="AD001"/>
    <x v="1"/>
    <x v="1"/>
    <s v="17–21 Age"/>
    <n v="230730"/>
    <n v="8044"/>
    <n v="1273"/>
    <n v="591"/>
    <n v="285"/>
    <n v="100417.85"/>
    <n v="2085502.25"/>
    <s v="North India"/>
    <n v="3.4863260087548218"/>
    <n v="12.483571606166088"/>
    <n v="15.825459970164097"/>
    <n v="352.34333333333336"/>
    <n v="20.768242399135211"/>
  </r>
  <r>
    <d v="2024-04-11T00:00:00"/>
    <s v="AD001"/>
    <x v="1"/>
    <x v="1"/>
    <s v="17–21 Age"/>
    <n v="221570"/>
    <n v="12355"/>
    <n v="2256"/>
    <n v="1301"/>
    <n v="521"/>
    <n v="200217.89"/>
    <n v="2522440.58"/>
    <s v="Pan India"/>
    <n v="5.5761159001669895"/>
    <n v="16.205414002428167"/>
    <n v="18.259813840550386"/>
    <n v="384.29537428023036"/>
    <n v="12.598477488699935"/>
  </r>
  <r>
    <d v="2024-04-12T00:00:00"/>
    <s v="AD001"/>
    <x v="1"/>
    <x v="1"/>
    <s v="17–21 Age"/>
    <n v="241871"/>
    <n v="18824"/>
    <n v="3533"/>
    <n v="2181"/>
    <n v="917"/>
    <n v="126584.31"/>
    <n v="7087676.71"/>
    <s v="South India"/>
    <n v="7.7826610052465979"/>
    <n v="6.7246233531661703"/>
    <n v="18.768593285167871"/>
    <n v="138.04177753544167"/>
    <n v="55.991747397446019"/>
  </r>
  <r>
    <d v="2024-04-13T00:00:00"/>
    <s v="AD001"/>
    <x v="1"/>
    <x v="1"/>
    <s v="17–21 Age"/>
    <n v="288853"/>
    <n v="12032"/>
    <n v="2732"/>
    <n v="1717"/>
    <n v="785"/>
    <n v="202094.55"/>
    <n v="2398171.83"/>
    <s v="East India"/>
    <n v="4.1654405528071372"/>
    <n v="16.796422041223405"/>
    <n v="22.706117021276594"/>
    <n v="257.44528662420379"/>
    <n v="11.86658338881479"/>
  </r>
  <r>
    <d v="2024-04-14T00:00:00"/>
    <s v="AD001"/>
    <x v="1"/>
    <x v="1"/>
    <s v="17–21 Age"/>
    <n v="213540"/>
    <n v="14462"/>
    <n v="3456"/>
    <n v="1678"/>
    <n v="696"/>
    <n v="108897.67"/>
    <n v="3431908.04"/>
    <s v="West India"/>
    <n v="6.7725016390371833"/>
    <n v="7.5299177153920622"/>
    <n v="23.897109666712765"/>
    <n v="156.46216954022989"/>
    <n v="31.514981358187004"/>
  </r>
  <r>
    <d v="2024-04-15T00:00:00"/>
    <s v="AD001"/>
    <x v="1"/>
    <x v="1"/>
    <s v="17–21 Age"/>
    <n v="72233"/>
    <n v="3762"/>
    <n v="590"/>
    <n v="318"/>
    <n v="184"/>
    <n v="57707.1"/>
    <n v="1314021.3700000001"/>
    <s v="West India"/>
    <n v="5.2081458613099274"/>
    <n v="15.339473684210526"/>
    <n v="15.683147262094629"/>
    <n v="313.62554347826085"/>
    <n v="22.770532048915992"/>
  </r>
  <r>
    <d v="2024-04-16T00:00:00"/>
    <s v="AD001"/>
    <x v="1"/>
    <x v="1"/>
    <s v="17–21 Age"/>
    <n v="167205"/>
    <n v="5074"/>
    <n v="1208"/>
    <n v="604"/>
    <n v="322"/>
    <n v="115667.4"/>
    <n v="2387204.39"/>
    <s v="West India"/>
    <n v="3.0345982476600577"/>
    <n v="22.796097753251871"/>
    <n v="23.807646826960976"/>
    <n v="359.21552795031056"/>
    <n v="20.638523819157346"/>
  </r>
  <r>
    <d v="2024-04-17T00:00:00"/>
    <s v="AD001"/>
    <x v="1"/>
    <x v="1"/>
    <s v="17–21 Age"/>
    <n v="234584"/>
    <n v="15677"/>
    <n v="3010"/>
    <n v="1913"/>
    <n v="842"/>
    <n v="190234.63"/>
    <n v="4025666.51"/>
    <s v="West India"/>
    <n v="6.6828939740135738"/>
    <n v="12.134632263825987"/>
    <n v="19.200102060343177"/>
    <n v="225.93186460807601"/>
    <n v="21.16158614233381"/>
  </r>
  <r>
    <d v="2024-04-18T00:00:00"/>
    <s v="AD001"/>
    <x v="1"/>
    <x v="1"/>
    <s v="17–21 Age"/>
    <n v="50267"/>
    <n v="3518"/>
    <n v="817"/>
    <n v="515"/>
    <n v="226"/>
    <n v="39781.589999999997"/>
    <n v="893338.11"/>
    <s v="West India"/>
    <n v="6.9986273300574924"/>
    <n v="11.308013075611141"/>
    <n v="23.223422399090392"/>
    <n v="176.02473451327432"/>
    <n v="22.456068498016297"/>
  </r>
  <r>
    <d v="2024-04-19T00:00:00"/>
    <s v="AD001"/>
    <x v="1"/>
    <x v="1"/>
    <s v="17–21 Age"/>
    <n v="147737"/>
    <n v="9789"/>
    <n v="2427"/>
    <n v="1461"/>
    <n v="710"/>
    <n v="115882.02"/>
    <n v="4999994.7699999996"/>
    <s v="South India"/>
    <n v="6.62596370577445"/>
    <n v="11.837983450812137"/>
    <n v="24.793135151700888"/>
    <n v="163.21411267605635"/>
    <n v="43.14728695616455"/>
  </r>
  <r>
    <d v="2024-04-20T00:00:00"/>
    <s v="AD001"/>
    <x v="1"/>
    <x v="1"/>
    <s v="17–21 Age"/>
    <n v="103945"/>
    <n v="5827"/>
    <n v="1089"/>
    <n v="686"/>
    <n v="290"/>
    <n v="45623.839999999997"/>
    <n v="1291459.42"/>
    <s v="South India"/>
    <n v="5.6058492471980372"/>
    <n v="7.8297305646130075"/>
    <n v="18.688862193238371"/>
    <n v="157.32358620689655"/>
    <n v="28.306679578045163"/>
  </r>
  <r>
    <d v="2024-04-21T00:00:00"/>
    <s v="AD001"/>
    <x v="1"/>
    <x v="1"/>
    <s v="17–21 Age"/>
    <n v="180309"/>
    <n v="13125"/>
    <n v="2445"/>
    <n v="1328"/>
    <n v="595"/>
    <n v="107078.07"/>
    <n v="4718406.5599999996"/>
    <s v="South India"/>
    <n v="7.2791707568673774"/>
    <n v="8.1583291428571432"/>
    <n v="18.628571428571426"/>
    <n v="179.96314285714286"/>
    <n v="44.065106515274316"/>
  </r>
  <r>
    <d v="2024-04-22T00:00:00"/>
    <s v="AD001"/>
    <x v="1"/>
    <x v="1"/>
    <s v="17–21 Age"/>
    <n v="165998"/>
    <n v="7203"/>
    <n v="1295"/>
    <n v="834"/>
    <n v="489"/>
    <n v="155076.26999999999"/>
    <n v="3804206.8"/>
    <s v="South India"/>
    <n v="4.3392089061313994"/>
    <n v="21.529400249895875"/>
    <n v="17.978620019436345"/>
    <n v="317.12938650306745"/>
    <n v="24.531198744978841"/>
  </r>
  <r>
    <d v="2024-04-23T00:00:00"/>
    <s v="AD001"/>
    <x v="1"/>
    <x v="1"/>
    <s v="17–21 Age"/>
    <n v="204547"/>
    <n v="9363"/>
    <n v="1756"/>
    <n v="1126"/>
    <n v="509"/>
    <n v="150706.37"/>
    <n v="2219931.4900000002"/>
    <s v="Pan India"/>
    <n v="4.5774320816242717"/>
    <n v="16.095948947986756"/>
    <n v="18.754672647655664"/>
    <n v="296.08324165029467"/>
    <n v="14.730176899622759"/>
  </r>
  <r>
    <d v="2024-04-24T00:00:00"/>
    <s v="AD001"/>
    <x v="1"/>
    <x v="1"/>
    <s v="17–21 Age"/>
    <n v="124784"/>
    <n v="7174"/>
    <n v="1288"/>
    <n v="783"/>
    <n v="351"/>
    <n v="103744.92"/>
    <n v="1765941.04"/>
    <s v="Pan India"/>
    <n v="5.7491345044236439"/>
    <n v="14.461237803178143"/>
    <n v="17.953721773069418"/>
    <n v="295.56957264957265"/>
    <n v="17.021951918224044"/>
  </r>
  <r>
    <d v="2024-04-25T00:00:00"/>
    <s v="AD001"/>
    <x v="1"/>
    <x v="1"/>
    <s v="17–21 Age"/>
    <n v="132967"/>
    <n v="10361"/>
    <n v="1745"/>
    <n v="990"/>
    <n v="467"/>
    <n v="65512.99"/>
    <n v="1832026.4"/>
    <s v="Pan India"/>
    <n v="7.7921589567336262"/>
    <n v="6.3230373516069873"/>
    <n v="16.842003667599652"/>
    <n v="140.28477516059957"/>
    <n v="27.96432280071479"/>
  </r>
  <r>
    <d v="2024-04-26T00:00:00"/>
    <s v="AD001"/>
    <x v="1"/>
    <x v="1"/>
    <s v="17–21 Age"/>
    <n v="260506"/>
    <n v="13356"/>
    <n v="3163"/>
    <n v="1998"/>
    <n v="854"/>
    <n v="256268.15"/>
    <n v="4686283.68"/>
    <s v="West India"/>
    <n v="5.126945252700513"/>
    <n v="19.187492512728362"/>
    <n v="23.682240191674154"/>
    <n v="300.07980093676815"/>
    <n v="18.286641082787696"/>
  </r>
  <r>
    <d v="2024-04-27T00:00:00"/>
    <s v="AD001"/>
    <x v="1"/>
    <x v="1"/>
    <s v="17–21 Age"/>
    <n v="229208"/>
    <n v="9355"/>
    <n v="2081"/>
    <n v="1043"/>
    <n v="469"/>
    <n v="178259.19"/>
    <n v="2674523.87"/>
    <s v="Pan India"/>
    <n v="4.0814456737984717"/>
    <n v="19.054964190272582"/>
    <n v="22.244788882950296"/>
    <n v="380.0835607675906"/>
    <n v="15.003567950690229"/>
  </r>
  <r>
    <d v="2024-04-28T00:00:00"/>
    <s v="AD001"/>
    <x v="1"/>
    <x v="1"/>
    <s v="17–21 Age"/>
    <n v="171241"/>
    <n v="7348"/>
    <n v="1294"/>
    <n v="719"/>
    <n v="302"/>
    <n v="85665.34"/>
    <n v="1939708.81"/>
    <s v="West India"/>
    <n v="4.2910284336111095"/>
    <n v="11.658320631464344"/>
    <n v="17.610234077299946"/>
    <n v="283.66006622516556"/>
    <n v="22.64286594788511"/>
  </r>
  <r>
    <d v="2024-04-29T00:00:00"/>
    <s v="AD001"/>
    <x v="1"/>
    <x v="1"/>
    <s v="17–21 Age"/>
    <n v="161956"/>
    <n v="10797"/>
    <n v="1786"/>
    <n v="1036"/>
    <n v="542"/>
    <n v="150183.85999999999"/>
    <n v="2235498.12"/>
    <s v="East India"/>
    <n v="6.6666255032230977"/>
    <n v="13.909776789849031"/>
    <n v="16.541631934796701"/>
    <n v="277.09199261992615"/>
    <n v="14.885075666586278"/>
  </r>
  <r>
    <d v="2024-04-30T00:00:00"/>
    <s v="AD001"/>
    <x v="1"/>
    <x v="1"/>
    <s v="17–21 Age"/>
    <n v="61492"/>
    <n v="4436"/>
    <n v="909"/>
    <n v="457"/>
    <n v="244"/>
    <n v="50083.82"/>
    <n v="751942.31"/>
    <s v="West India"/>
    <n v="7.2139465296298706"/>
    <n v="11.290311091073038"/>
    <n v="20.491433724075744"/>
    <n v="205.26155737704917"/>
    <n v="15.013677271422189"/>
  </r>
  <r>
    <d v="2024-05-01T00:00:00"/>
    <s v="AD001"/>
    <x v="1"/>
    <x v="1"/>
    <s v="17–21 Age"/>
    <n v="203882"/>
    <n v="9925"/>
    <n v="2110"/>
    <n v="963"/>
    <n v="504"/>
    <n v="181726.55"/>
    <n v="3279195.9"/>
    <s v="South India"/>
    <n v="4.8680118892300452"/>
    <n v="18.309979848866497"/>
    <n v="21.259445843828715"/>
    <n v="360.56855158730156"/>
    <n v="18.04467151332593"/>
  </r>
  <r>
    <d v="2024-05-02T00:00:00"/>
    <s v="AD001"/>
    <x v="1"/>
    <x v="1"/>
    <s v="17–21 Age"/>
    <n v="52572"/>
    <n v="2746"/>
    <n v="633"/>
    <n v="286"/>
    <n v="115"/>
    <n v="31495.18"/>
    <n v="721471.98"/>
    <s v="West India"/>
    <n v="5.2233127900783689"/>
    <n v="11.469475600873999"/>
    <n v="23.051711580480699"/>
    <n v="273.87113043478263"/>
    <n v="22.907377573330269"/>
  </r>
  <r>
    <d v="2024-05-03T00:00:00"/>
    <s v="AD001"/>
    <x v="1"/>
    <x v="1"/>
    <s v="17–21 Age"/>
    <n v="182398"/>
    <n v="9821"/>
    <n v="2358"/>
    <n v="1144"/>
    <n v="659"/>
    <n v="117138.56"/>
    <n v="4142036.47"/>
    <s v="Pan India"/>
    <n v="5.3843792146843716"/>
    <n v="11.927355666429081"/>
    <n v="24.00977497199878"/>
    <n v="177.75198786039454"/>
    <n v="35.36014502824689"/>
  </r>
  <r>
    <d v="2024-05-04T00:00:00"/>
    <s v="AD001"/>
    <x v="1"/>
    <x v="1"/>
    <s v="17–21 Age"/>
    <n v="291292"/>
    <n v="19445"/>
    <n v="3115"/>
    <n v="1736"/>
    <n v="1028"/>
    <n v="264152.71999999997"/>
    <n v="6279650.6100000003"/>
    <s v="South India"/>
    <n v="6.6754322123504934"/>
    <n v="13.584608896888659"/>
    <n v="16.019542298791464"/>
    <n v="256.9578988326848"/>
    <n v="23.772803134489781"/>
  </r>
  <r>
    <d v="2024-05-05T00:00:00"/>
    <s v="AD001"/>
    <x v="1"/>
    <x v="1"/>
    <s v="17–21 Age"/>
    <n v="209896"/>
    <n v="11020"/>
    <n v="2016"/>
    <n v="1282"/>
    <n v="676"/>
    <n v="134786.32"/>
    <n v="5166291.92"/>
    <s v="West India"/>
    <n v="5.2502191561535234"/>
    <n v="12.231063520871144"/>
    <n v="18.294010889292196"/>
    <n v="199.38804733727812"/>
    <n v="38.329497533577587"/>
  </r>
  <r>
    <d v="2024-05-06T00:00:00"/>
    <s v="AD001"/>
    <x v="1"/>
    <x v="1"/>
    <s v="17–21 Age"/>
    <n v="212729"/>
    <n v="11086"/>
    <n v="2540"/>
    <n v="1442"/>
    <n v="785"/>
    <n v="148219.13"/>
    <n v="2403528.2200000002"/>
    <s v="Pan India"/>
    <n v="5.211325207188489"/>
    <n v="13.3699377593361"/>
    <n v="22.911780624210717"/>
    <n v="188.81417834394904"/>
    <n v="16.216045931452978"/>
  </r>
  <r>
    <d v="2024-05-07T00:00:00"/>
    <s v="AD001"/>
    <x v="1"/>
    <x v="1"/>
    <s v="17–21 Age"/>
    <n v="53575"/>
    <n v="1779"/>
    <n v="383"/>
    <n v="198"/>
    <n v="83"/>
    <n v="31495.13"/>
    <n v="562987.04"/>
    <s v="South India"/>
    <n v="3.3205786280914604"/>
    <n v="17.703839235525578"/>
    <n v="21.52894884766723"/>
    <n v="379.45939759036145"/>
    <n v="17.875368033089561"/>
  </r>
  <r>
    <d v="2024-05-08T00:00:00"/>
    <s v="AD001"/>
    <x v="1"/>
    <x v="1"/>
    <s v="17–21 Age"/>
    <n v="77717"/>
    <n v="5458"/>
    <n v="1240"/>
    <n v="600"/>
    <n v="252"/>
    <n v="39733.879999999997"/>
    <n v="1374432.65"/>
    <s v="North India"/>
    <n v="7.0229164790200347"/>
    <n v="7.2799340417735428"/>
    <n v="22.718944668376693"/>
    <n v="157.67412698412699"/>
    <n v="34.590949839280732"/>
  </r>
  <r>
    <d v="2024-05-09T00:00:00"/>
    <s v="AD001"/>
    <x v="1"/>
    <x v="1"/>
    <s v="17–21 Age"/>
    <n v="254812"/>
    <n v="8231"/>
    <n v="1789"/>
    <n v="905"/>
    <n v="508"/>
    <n v="214463"/>
    <n v="3712872.07"/>
    <s v="Pan India"/>
    <n v="3.2302246362023763"/>
    <n v="26.055521807799781"/>
    <n v="21.734904628842184"/>
    <n v="422.1712598425197"/>
    <n v="17.312413190154011"/>
  </r>
  <r>
    <d v="2024-05-10T00:00:00"/>
    <s v="AD001"/>
    <x v="1"/>
    <x v="1"/>
    <s v="17–21 Age"/>
    <n v="159338"/>
    <n v="8621"/>
    <n v="1987"/>
    <n v="1010"/>
    <n v="560"/>
    <n v="121166.88"/>
    <n v="2837406.55"/>
    <s v="Pan India"/>
    <n v="5.4105109892178893"/>
    <n v="14.054852105324208"/>
    <n v="23.04837025867069"/>
    <n v="216.36942857142859"/>
    <n v="23.417344327096643"/>
  </r>
  <r>
    <d v="2024-05-11T00:00:00"/>
    <s v="AD001"/>
    <x v="1"/>
    <x v="1"/>
    <s v="17–21 Age"/>
    <n v="107691"/>
    <n v="5395"/>
    <n v="912"/>
    <n v="434"/>
    <n v="235"/>
    <n v="50972.7"/>
    <n v="1299358.1000000001"/>
    <s v="North India"/>
    <n v="5.0097036892590836"/>
    <n v="9.4481371640407783"/>
    <n v="16.904541241890637"/>
    <n v="216.90510638297872"/>
    <n v="25.491255122840268"/>
  </r>
  <r>
    <d v="2024-05-12T00:00:00"/>
    <s v="AD001"/>
    <x v="1"/>
    <x v="1"/>
    <s v="17–21 Age"/>
    <n v="150217"/>
    <n v="9087"/>
    <n v="1717"/>
    <n v="921"/>
    <n v="420"/>
    <n v="84200.07"/>
    <n v="2218829.9500000002"/>
    <s v="North India"/>
    <n v="6.0492487534699801"/>
    <n v="9.2659920765929353"/>
    <n v="18.895124903708592"/>
    <n v="200.47635714285715"/>
    <n v="26.351877735968628"/>
  </r>
  <r>
    <d v="2024-05-13T00:00:00"/>
    <s v="AD001"/>
    <x v="1"/>
    <x v="1"/>
    <s v="17–21 Age"/>
    <n v="227093"/>
    <n v="11820"/>
    <n v="2504"/>
    <n v="1225"/>
    <n v="522"/>
    <n v="192460.38"/>
    <n v="2362547.8199999998"/>
    <s v="North India"/>
    <n v="5.2049160476104497"/>
    <n v="16.282604060913705"/>
    <n v="21.184433164128595"/>
    <n v="368.69804597701147"/>
    <n v="12.275502209857425"/>
  </r>
  <r>
    <d v="2024-05-14T00:00:00"/>
    <s v="AD001"/>
    <x v="1"/>
    <x v="1"/>
    <s v="17–21 Age"/>
    <n v="212823"/>
    <n v="12602"/>
    <n v="1904"/>
    <n v="1005"/>
    <n v="425"/>
    <n v="107267.35"/>
    <n v="1912334.83"/>
    <s v="West India"/>
    <n v="5.921352485398665"/>
    <n v="8.5119306459292172"/>
    <n v="15.108712902713856"/>
    <n v="252.39376470588238"/>
    <n v="17.827743763596285"/>
  </r>
  <r>
    <d v="2024-05-15T00:00:00"/>
    <s v="AD001"/>
    <x v="1"/>
    <x v="1"/>
    <s v="17–21 Age"/>
    <n v="129087"/>
    <n v="4033"/>
    <n v="640"/>
    <n v="346"/>
    <n v="198"/>
    <n v="101205.53"/>
    <n v="1581964.16"/>
    <s v="West India"/>
    <n v="3.124249537133871"/>
    <n v="25.094354078849491"/>
    <n v="15.869080089263576"/>
    <n v="511.13904040404037"/>
    <n v="15.631202761351084"/>
  </r>
  <r>
    <d v="2024-05-16T00:00:00"/>
    <s v="AD001"/>
    <x v="1"/>
    <x v="1"/>
    <s v="17–21 Age"/>
    <n v="95904"/>
    <n v="4183"/>
    <n v="667"/>
    <n v="322"/>
    <n v="147"/>
    <n v="66125.77"/>
    <n v="751735"/>
    <s v="North India"/>
    <n v="4.3616533199866536"/>
    <n v="15.808216590963424"/>
    <n v="15.945493664833851"/>
    <n v="449.83517006802725"/>
    <n v="11.368260815715264"/>
  </r>
  <r>
    <d v="2024-05-17T00:00:00"/>
    <s v="AD001"/>
    <x v="1"/>
    <x v="1"/>
    <s v="17–21 Age"/>
    <n v="135876"/>
    <n v="8214"/>
    <n v="1729"/>
    <n v="909"/>
    <n v="441"/>
    <n v="85485.01"/>
    <n v="2700293.92"/>
    <s v="Pan India"/>
    <n v="6.0452176984897994"/>
    <n v="10.407232773313854"/>
    <n v="21.049427806184561"/>
    <n v="193.84356009070294"/>
    <n v="31.587923075636304"/>
  </r>
  <r>
    <d v="2024-05-18T00:00:00"/>
    <s v="AD001"/>
    <x v="1"/>
    <x v="1"/>
    <s v="17–21 Age"/>
    <n v="280625"/>
    <n v="14687"/>
    <n v="2934"/>
    <n v="1372"/>
    <n v="655"/>
    <n v="191298.55"/>
    <n v="3980786.43"/>
    <s v="Pan India"/>
    <n v="5.2336748329621381"/>
    <n v="13.025025532784094"/>
    <n v="19.976850275754067"/>
    <n v="292.05885496183203"/>
    <n v="20.809287001914026"/>
  </r>
  <r>
    <d v="2024-05-19T00:00:00"/>
    <s v="AD001"/>
    <x v="1"/>
    <x v="1"/>
    <s v="17–21 Age"/>
    <n v="99328"/>
    <n v="5165"/>
    <n v="1149"/>
    <n v="717"/>
    <n v="314"/>
    <n v="59406.59"/>
    <n v="1218839.81"/>
    <s v="Pan India"/>
    <n v="5.1999436211340209"/>
    <n v="11.501759922555662"/>
    <n v="22.245885769603095"/>
    <n v="189.19296178343947"/>
    <n v="20.516912517617996"/>
  </r>
  <r>
    <d v="2024-05-20T00:00:00"/>
    <s v="AD001"/>
    <x v="1"/>
    <x v="1"/>
    <s v="17–21 Age"/>
    <n v="144094"/>
    <n v="11075"/>
    <n v="2057"/>
    <n v="1117"/>
    <n v="577"/>
    <n v="118500.5"/>
    <n v="3178344.45"/>
    <s v="North India"/>
    <n v="7.6859550015961799"/>
    <n v="10.69981941309255"/>
    <n v="18.57336343115124"/>
    <n v="205.37348353552861"/>
    <n v="26.821358981607673"/>
  </r>
  <r>
    <d v="2024-05-21T00:00:00"/>
    <s v="AD001"/>
    <x v="1"/>
    <x v="1"/>
    <s v="17–21 Age"/>
    <n v="257103"/>
    <n v="13993"/>
    <n v="3038"/>
    <n v="1674"/>
    <n v="939"/>
    <n v="151753.51"/>
    <n v="5715057.0800000001"/>
    <s v="South India"/>
    <n v="5.4425658199243099"/>
    <n v="10.844958908025442"/>
    <n v="21.710855427713856"/>
    <n v="161.61183173588924"/>
    <n v="37.660131090213333"/>
  </r>
  <r>
    <d v="2024-05-22T00:00:00"/>
    <s v="AD001"/>
    <x v="1"/>
    <x v="1"/>
    <s v="17–21 Age"/>
    <n v="209828"/>
    <n v="14119"/>
    <n v="2701"/>
    <n v="1585"/>
    <n v="667"/>
    <n v="164161.53"/>
    <n v="3749676.3"/>
    <s v="North India"/>
    <n v="6.7288445774634456"/>
    <n v="11.626994121396699"/>
    <n v="19.130250017706636"/>
    <n v="246.11923538230883"/>
    <n v="22.841382509044596"/>
  </r>
  <r>
    <d v="2024-05-23T00:00:00"/>
    <s v="AD001"/>
    <x v="1"/>
    <x v="1"/>
    <s v="17–21 Age"/>
    <n v="218859"/>
    <n v="11905"/>
    <n v="1854"/>
    <n v="941"/>
    <n v="482"/>
    <n v="120754.52"/>
    <n v="1563740.44"/>
    <s v="East India"/>
    <n v="5.4395752516460369"/>
    <n v="10.14317681646367"/>
    <n v="15.573288534229315"/>
    <n v="250.52804979253114"/>
    <n v="12.949746643024211"/>
  </r>
  <r>
    <d v="2024-05-24T00:00:00"/>
    <s v="AD001"/>
    <x v="1"/>
    <x v="1"/>
    <s v="17–21 Age"/>
    <n v="210510"/>
    <n v="12742"/>
    <n v="2399"/>
    <n v="1408"/>
    <n v="810"/>
    <n v="182684.18"/>
    <n v="6159533.6299999999"/>
    <s v="West India"/>
    <n v="6.0529191012303452"/>
    <n v="14.337166849788101"/>
    <n v="18.827499607596923"/>
    <n v="225.53602469135802"/>
    <n v="33.716841983799583"/>
  </r>
  <r>
    <d v="2024-05-25T00:00:00"/>
    <s v="AD001"/>
    <x v="1"/>
    <x v="1"/>
    <s v="17–21 Age"/>
    <n v="112134"/>
    <n v="3488"/>
    <n v="542"/>
    <n v="286"/>
    <n v="159"/>
    <n v="76411.33"/>
    <n v="520844.26"/>
    <s v="North India"/>
    <n v="3.110564146467619"/>
    <n v="21.906918004587155"/>
    <n v="15.538990825688073"/>
    <n v="480.57440251572331"/>
    <n v="6.8163223961682124"/>
  </r>
  <r>
    <d v="2024-05-26T00:00:00"/>
    <s v="AD001"/>
    <x v="1"/>
    <x v="1"/>
    <s v="17–21 Age"/>
    <n v="167323"/>
    <n v="6870"/>
    <n v="1386"/>
    <n v="656"/>
    <n v="339"/>
    <n v="154889.76"/>
    <n v="2689431.95"/>
    <s v="West India"/>
    <n v="4.1058312365903067"/>
    <n v="22.545816593886464"/>
    <n v="20.174672489082969"/>
    <n v="456.90194690265491"/>
    <n v="17.363523256798899"/>
  </r>
  <r>
    <d v="2024-05-27T00:00:00"/>
    <s v="AD001"/>
    <x v="1"/>
    <x v="1"/>
    <s v="17–21 Age"/>
    <n v="71573"/>
    <n v="3385"/>
    <n v="572"/>
    <n v="368"/>
    <n v="169"/>
    <n v="37172.300000000003"/>
    <n v="1300602.6299999999"/>
    <s v="South India"/>
    <n v="4.7294370782278232"/>
    <n v="10.981477104874447"/>
    <n v="16.898079763663219"/>
    <n v="219.9544378698225"/>
    <n v="34.988489547324214"/>
  </r>
  <r>
    <d v="2024-05-28T00:00:00"/>
    <s v="AD001"/>
    <x v="1"/>
    <x v="1"/>
    <s v="17–21 Age"/>
    <n v="157823"/>
    <n v="9513"/>
    <n v="2121"/>
    <n v="1051"/>
    <n v="506"/>
    <n v="109850.41"/>
    <n v="3668863.75"/>
    <s v="South India"/>
    <n v="6.0276385571177835"/>
    <n v="11.547399348260276"/>
    <n v="22.29580573951435"/>
    <n v="217.09567193675889"/>
    <n v="33.398726049361123"/>
  </r>
  <r>
    <d v="2024-05-29T00:00:00"/>
    <s v="AD001"/>
    <x v="1"/>
    <x v="1"/>
    <s v="17–21 Age"/>
    <n v="170857"/>
    <n v="13220"/>
    <n v="2821"/>
    <n v="1398"/>
    <n v="619"/>
    <n v="96132.33"/>
    <n v="4551261.95"/>
    <s v="North India"/>
    <n v="7.7374646634319939"/>
    <n v="7.2717344931921328"/>
    <n v="21.338880484114977"/>
    <n v="155.30263327948305"/>
    <n v="47.343718289154126"/>
  </r>
  <r>
    <d v="2024-05-30T00:00:00"/>
    <s v="AD001"/>
    <x v="1"/>
    <x v="1"/>
    <s v="17–21 Age"/>
    <n v="286098"/>
    <n v="8605"/>
    <n v="1496"/>
    <n v="757"/>
    <n v="307"/>
    <n v="284695.90999999997"/>
    <n v="2297719.94"/>
    <s v="North India"/>
    <n v="3.0077106446042965"/>
    <n v="33.084940151074953"/>
    <n v="17.385241138872747"/>
    <n v="927.34824104234519"/>
    <n v="8.070786615796484"/>
  </r>
  <r>
    <d v="2024-05-31T00:00:00"/>
    <s v="AD001"/>
    <x v="1"/>
    <x v="1"/>
    <s v="17–21 Age"/>
    <n v="179655"/>
    <n v="7512"/>
    <n v="1329"/>
    <n v="827"/>
    <n v="420"/>
    <n v="177940.53"/>
    <n v="2774452.44"/>
    <s v="South India"/>
    <n v="4.1813475828671622"/>
    <n v="23.687503993610225"/>
    <n v="17.691693290734825"/>
    <n v="423.66792857142855"/>
    <n v="15.592020772333319"/>
  </r>
  <r>
    <d v="2024-06-01T00:00:00"/>
    <s v="AD001"/>
    <x v="1"/>
    <x v="1"/>
    <s v="17–21 Age"/>
    <n v="200920"/>
    <n v="10462"/>
    <n v="2244"/>
    <n v="1338"/>
    <n v="750"/>
    <n v="142412.10999999999"/>
    <n v="4242470.3600000003"/>
    <s v="West India"/>
    <n v="5.2070475811268171"/>
    <n v="13.612321735805772"/>
    <n v="21.449053718218313"/>
    <n v="189.8828133333333"/>
    <n v="29.790095519264483"/>
  </r>
  <r>
    <d v="2024-06-02T00:00:00"/>
    <s v="AD001"/>
    <x v="1"/>
    <x v="1"/>
    <s v="17–21 Age"/>
    <n v="277733"/>
    <n v="19722"/>
    <n v="3356"/>
    <n v="1999"/>
    <n v="1087"/>
    <n v="267369.15000000002"/>
    <n v="6633449.5"/>
    <s v="East India"/>
    <n v="7.1010646916282907"/>
    <n v="13.556898387587466"/>
    <n v="17.016529763715649"/>
    <n v="245.96977920883168"/>
    <n v="24.810078126066525"/>
  </r>
  <r>
    <d v="2024-06-03T00:00:00"/>
    <s v="AD001"/>
    <x v="1"/>
    <x v="1"/>
    <s v="17–21 Age"/>
    <n v="163525"/>
    <n v="6314"/>
    <n v="1573"/>
    <n v="794"/>
    <n v="445"/>
    <n v="161244.1"/>
    <n v="2892185.32"/>
    <s v="East India"/>
    <n v="3.8611833053049995"/>
    <n v="25.537551472917329"/>
    <n v="24.912891986062718"/>
    <n v="362.34629213483146"/>
    <n v="17.936689280413979"/>
  </r>
  <r>
    <d v="2024-06-04T00:00:00"/>
    <s v="AD001"/>
    <x v="1"/>
    <x v="1"/>
    <s v="17–21 Age"/>
    <n v="57200"/>
    <n v="2876"/>
    <n v="542"/>
    <n v="295"/>
    <n v="144"/>
    <n v="40656.160000000003"/>
    <n v="1131479.57"/>
    <s v="North India"/>
    <n v="5.0279720279720284"/>
    <n v="14.136356050069542"/>
    <n v="18.845618915159946"/>
    <n v="282.33444444444444"/>
    <n v="27.830458410238446"/>
  </r>
  <r>
    <d v="2024-06-05T00:00:00"/>
    <s v="AD001"/>
    <x v="1"/>
    <x v="1"/>
    <s v="17–21 Age"/>
    <n v="138496"/>
    <n v="6165"/>
    <n v="1152"/>
    <n v="534"/>
    <n v="238"/>
    <n v="78355.929999999993"/>
    <n v="1666242.27"/>
    <s v="West India"/>
    <n v="4.4513920979667283"/>
    <n v="12.709802108678019"/>
    <n v="18.686131386861312"/>
    <n v="329.22659663865545"/>
    <n v="21.265043628478409"/>
  </r>
  <r>
    <d v="2024-06-06T00:00:00"/>
    <s v="AD001"/>
    <x v="1"/>
    <x v="1"/>
    <s v="17–21 Age"/>
    <n v="173098"/>
    <n v="12987"/>
    <n v="2605"/>
    <n v="1205"/>
    <n v="678"/>
    <n v="171934.55"/>
    <n v="4701884.7"/>
    <s v="East India"/>
    <n v="7.5026863395302081"/>
    <n v="13.238973588973588"/>
    <n v="20.058520058520056"/>
    <n v="253.59078171091443"/>
    <n v="27.346945102075182"/>
  </r>
  <r>
    <d v="2024-06-07T00:00:00"/>
    <s v="AD001"/>
    <x v="1"/>
    <x v="1"/>
    <s v="17–21 Age"/>
    <n v="132867"/>
    <n v="6166"/>
    <n v="1353"/>
    <n v="871"/>
    <n v="423"/>
    <n v="110775.88"/>
    <n v="1886619.18"/>
    <s v="North India"/>
    <n v="4.6407309565204304"/>
    <n v="17.965598443074928"/>
    <n v="21.942912747324034"/>
    <n v="261.8815130023641"/>
    <n v="17.030956377868538"/>
  </r>
  <r>
    <d v="2024-06-08T00:00:00"/>
    <s v="AD001"/>
    <x v="1"/>
    <x v="1"/>
    <s v="17–21 Age"/>
    <n v="78405"/>
    <n v="5902"/>
    <n v="1106"/>
    <n v="584"/>
    <n v="309"/>
    <n v="59265.23"/>
    <n v="1624992.95"/>
    <s v="Pan India"/>
    <n v="7.5275811491614055"/>
    <n v="10.041550321924772"/>
    <n v="18.739410369366315"/>
    <n v="191.79686084142395"/>
    <n v="27.418993396296614"/>
  </r>
  <r>
    <d v="2024-06-09T00:00:00"/>
    <s v="AD001"/>
    <x v="1"/>
    <x v="1"/>
    <s v="17–21 Age"/>
    <n v="123612"/>
    <n v="8089"/>
    <n v="1527"/>
    <n v="775"/>
    <n v="424"/>
    <n v="113946.27"/>
    <n v="3146851.09"/>
    <s v="Pan India"/>
    <n v="6.5438630553667929"/>
    <n v="14.08657065150204"/>
    <n v="18.87748794659414"/>
    <n v="268.74120283018868"/>
    <n v="27.616973245372577"/>
  </r>
  <r>
    <d v="2024-06-10T00:00:00"/>
    <s v="AD001"/>
    <x v="1"/>
    <x v="1"/>
    <s v="17–21 Age"/>
    <n v="195933"/>
    <n v="8997"/>
    <n v="1665"/>
    <n v="915"/>
    <n v="447"/>
    <n v="189378.11"/>
    <n v="2736847.83"/>
    <s v="North India"/>
    <n v="4.5918757942766151"/>
    <n v="21.049028565077247"/>
    <n v="18.506168722907638"/>
    <n v="423.6646756152125"/>
    <n v="14.45176440930792"/>
  </r>
  <r>
    <d v="2024-06-11T00:00:00"/>
    <s v="AD001"/>
    <x v="1"/>
    <x v="1"/>
    <s v="17–21 Age"/>
    <n v="107645"/>
    <n v="6490"/>
    <n v="1396"/>
    <n v="669"/>
    <n v="394"/>
    <n v="64452.160000000003"/>
    <n v="2150210.5099999998"/>
    <s v="South India"/>
    <n v="6.0290770588508522"/>
    <n v="9.9309953775038533"/>
    <n v="21.510015408320491"/>
    <n v="163.58416243654824"/>
    <n v="33.361341342167577"/>
  </r>
  <r>
    <d v="2024-06-12T00:00:00"/>
    <s v="AD001"/>
    <x v="1"/>
    <x v="1"/>
    <s v="17–21 Age"/>
    <n v="126990"/>
    <n v="3967"/>
    <n v="640"/>
    <n v="342"/>
    <n v="195"/>
    <n v="78557.41"/>
    <n v="817559.85"/>
    <s v="South India"/>
    <n v="3.1238680211040237"/>
    <n v="19.802724981094027"/>
    <n v="16.13309805898664"/>
    <n v="402.85851282051283"/>
    <n v="10.407164009098569"/>
  </r>
  <r>
    <d v="2024-06-13T00:00:00"/>
    <s v="AD001"/>
    <x v="1"/>
    <x v="1"/>
    <s v="17–21 Age"/>
    <n v="173173"/>
    <n v="6384"/>
    <n v="1547"/>
    <n v="788"/>
    <n v="399"/>
    <n v="127532.25"/>
    <n v="2683477.69"/>
    <s v="East India"/>
    <n v="3.686486923481143"/>
    <n v="19.976856203007518"/>
    <n v="24.232456140350877"/>
    <n v="319.62969924812029"/>
    <n v="21.041561565800023"/>
  </r>
  <r>
    <d v="2024-06-14T00:00:00"/>
    <s v="AD001"/>
    <x v="1"/>
    <x v="1"/>
    <s v="17–21 Age"/>
    <n v="267033"/>
    <n v="20262"/>
    <n v="3713"/>
    <n v="2404"/>
    <n v="1299"/>
    <n v="216742.23"/>
    <n v="7943328.0199999996"/>
    <s v="Pan India"/>
    <n v="7.5878262237251581"/>
    <n v="10.696981048267693"/>
    <n v="18.32494324351002"/>
    <n v="166.85314087759815"/>
    <n v="36.648732552027354"/>
  </r>
  <r>
    <d v="2024-06-15T00:00:00"/>
    <s v="AD001"/>
    <x v="1"/>
    <x v="1"/>
    <s v="17–21 Age"/>
    <n v="132726"/>
    <n v="7918"/>
    <n v="1387"/>
    <n v="700"/>
    <n v="353"/>
    <n v="57062.19"/>
    <n v="1916053.2"/>
    <s v="East India"/>
    <n v="5.9656736434458963"/>
    <n v="7.2066418287446332"/>
    <n v="17.517049760040415"/>
    <n v="161.64926345609067"/>
    <n v="33.578332692804111"/>
  </r>
  <r>
    <d v="2024-06-16T00:00:00"/>
    <s v="AD001"/>
    <x v="1"/>
    <x v="1"/>
    <s v="17–21 Age"/>
    <n v="251270"/>
    <n v="9386"/>
    <n v="1500"/>
    <n v="689"/>
    <n v="349"/>
    <n v="244867.93"/>
    <n v="2427243.89"/>
    <s v="North India"/>
    <n v="3.7354240458470969"/>
    <n v="26.088635201363733"/>
    <n v="15.981248668229279"/>
    <n v="701.62730659025783"/>
    <n v="9.9124613419160283"/>
  </r>
  <r>
    <d v="2024-06-17T00:00:00"/>
    <s v="AD001"/>
    <x v="1"/>
    <x v="1"/>
    <s v="17–21 Age"/>
    <n v="207125"/>
    <n v="16396"/>
    <n v="3081"/>
    <n v="1427"/>
    <n v="767"/>
    <n v="130264.98"/>
    <n v="5214044.04"/>
    <s v="West India"/>
    <n v="7.9159927579963787"/>
    <n v="7.9449243717979989"/>
    <n v="18.791168577701878"/>
    <n v="169.83700130378097"/>
    <n v="40.026444866456053"/>
  </r>
  <r>
    <d v="2024-06-18T00:00:00"/>
    <s v="AD001"/>
    <x v="1"/>
    <x v="1"/>
    <s v="17–21 Age"/>
    <n v="224667"/>
    <n v="15878"/>
    <n v="3948"/>
    <n v="2098"/>
    <n v="1224"/>
    <n v="195773.85"/>
    <n v="4343632.79"/>
    <s v="East India"/>
    <n v="7.0673485647647398"/>
    <n v="12.329880967376244"/>
    <n v="24.864592517949362"/>
    <n v="159.94595588235293"/>
    <n v="22.186991725401526"/>
  </r>
  <r>
    <d v="2024-06-19T00:00:00"/>
    <s v="AD001"/>
    <x v="1"/>
    <x v="1"/>
    <s v="17–21 Age"/>
    <n v="295874"/>
    <n v="20384"/>
    <n v="3505"/>
    <n v="2023"/>
    <n v="974"/>
    <n v="195140.62"/>
    <n v="5500364.7000000002"/>
    <s v="East India"/>
    <n v="6.8894191446358928"/>
    <n v="9.5732250784929356"/>
    <n v="17.194858712715856"/>
    <n v="200.34971252566734"/>
    <n v="28.186672257165117"/>
  </r>
  <r>
    <d v="2024-06-20T00:00:00"/>
    <s v="AD001"/>
    <x v="1"/>
    <x v="1"/>
    <s v="17–21 Age"/>
    <n v="205409"/>
    <n v="7026"/>
    <n v="1119"/>
    <n v="706"/>
    <n v="423"/>
    <n v="175824.96"/>
    <n v="1322998.03"/>
    <s v="Pan India"/>
    <n v="3.4204927729554204"/>
    <n v="25.024901793339026"/>
    <n v="15.926558497011101"/>
    <n v="415.66184397163119"/>
    <n v="7.5245177362758966"/>
  </r>
  <r>
    <d v="2024-06-21T00:00:00"/>
    <s v="AD001"/>
    <x v="1"/>
    <x v="1"/>
    <s v="17–21 Age"/>
    <n v="189047"/>
    <n v="7231"/>
    <n v="1473"/>
    <n v="846"/>
    <n v="469"/>
    <n v="149311.23000000001"/>
    <n v="2655170.75"/>
    <s v="North India"/>
    <n v="3.8249747417308924"/>
    <n v="20.648766422348224"/>
    <n v="20.370626469367998"/>
    <n v="318.36083155650323"/>
    <n v="17.782793363901696"/>
  </r>
  <r>
    <d v="2024-06-22T00:00:00"/>
    <s v="AD001"/>
    <x v="1"/>
    <x v="1"/>
    <s v="17–21 Age"/>
    <n v="174907"/>
    <n v="8495"/>
    <n v="2121"/>
    <n v="1059"/>
    <n v="425"/>
    <n v="134700.51"/>
    <n v="2590998.61"/>
    <s v="North India"/>
    <n v="4.8568667920666417"/>
    <n v="15.856446144791054"/>
    <n v="24.967628016480283"/>
    <n v="316.94237647058827"/>
    <n v="19.235254640090076"/>
  </r>
  <r>
    <d v="2024-06-23T00:00:00"/>
    <s v="AD001"/>
    <x v="1"/>
    <x v="1"/>
    <s v="17–21 Age"/>
    <n v="176167"/>
    <n v="10868"/>
    <n v="1936"/>
    <n v="1164"/>
    <n v="627"/>
    <n v="121892.02"/>
    <n v="4751275.42"/>
    <s v="East India"/>
    <n v="6.1691463213882285"/>
    <n v="11.215680898049319"/>
    <n v="17.813765182186234"/>
    <n v="194.40513556618819"/>
    <n v="38.979380438522554"/>
  </r>
  <r>
    <d v="2024-06-24T00:00:00"/>
    <s v="AD001"/>
    <x v="1"/>
    <x v="1"/>
    <s v="17–21 Age"/>
    <n v="170905"/>
    <n v="8986"/>
    <n v="2123"/>
    <n v="1289"/>
    <n v="772"/>
    <n v="77320.5"/>
    <n v="3546992.04"/>
    <s v="Pan India"/>
    <n v="5.2578918112401629"/>
    <n v="8.6045515245938127"/>
    <n v="23.625639884264409"/>
    <n v="100.15608808290155"/>
    <n v="45.873889072108952"/>
  </r>
  <r>
    <d v="2024-06-25T00:00:00"/>
    <s v="AD001"/>
    <x v="1"/>
    <x v="1"/>
    <s v="17–21 Age"/>
    <n v="92195"/>
    <n v="6158"/>
    <n v="1102"/>
    <n v="514"/>
    <n v="217"/>
    <n v="53344.57"/>
    <n v="1158159.81"/>
    <s v="West India"/>
    <n v="6.6793210043928628"/>
    <n v="8.6626453393959082"/>
    <n v="17.895420591101008"/>
    <n v="245.82751152073732"/>
    <n v="21.710922217575284"/>
  </r>
  <r>
    <d v="2024-06-26T00:00:00"/>
    <s v="AD001"/>
    <x v="1"/>
    <x v="1"/>
    <s v="17–21 Age"/>
    <n v="144589"/>
    <n v="11439"/>
    <n v="2189"/>
    <n v="1146"/>
    <n v="674"/>
    <n v="93882.94"/>
    <n v="3774177.24"/>
    <s v="Pan India"/>
    <n v="7.9113902164065042"/>
    <n v="8.2072681178424691"/>
    <n v="19.136288137074921"/>
    <n v="139.29219584569734"/>
    <n v="40.200884633566012"/>
  </r>
  <r>
    <d v="2024-06-27T00:00:00"/>
    <s v="AD001"/>
    <x v="1"/>
    <x v="1"/>
    <s v="17–21 Age"/>
    <n v="218634"/>
    <n v="13467"/>
    <n v="2852"/>
    <n v="1603"/>
    <n v="838"/>
    <n v="196856.04"/>
    <n v="2571768.14"/>
    <s v="North India"/>
    <n v="6.1596092099124569"/>
    <n v="14.617660948986412"/>
    <n v="21.177693621445016"/>
    <n v="234.91174224343678"/>
    <n v="13.064207427925503"/>
  </r>
  <r>
    <d v="2024-06-28T00:00:00"/>
    <s v="AD001"/>
    <x v="1"/>
    <x v="1"/>
    <s v="17–21 Age"/>
    <n v="224017"/>
    <n v="17218"/>
    <n v="3927"/>
    <n v="2217"/>
    <n v="1085"/>
    <n v="145416.06"/>
    <n v="7154154.9100000001"/>
    <s v="North India"/>
    <n v="7.6860238285487252"/>
    <n v="8.4455836914856537"/>
    <n v="22.80752700662098"/>
    <n v="134.02401843317972"/>
    <n v="49.197832137660725"/>
  </r>
  <r>
    <d v="2024-06-29T00:00:00"/>
    <s v="AD001"/>
    <x v="1"/>
    <x v="1"/>
    <s v="17–21 Age"/>
    <n v="99562"/>
    <n v="5277"/>
    <n v="1146"/>
    <n v="694"/>
    <n v="296"/>
    <n v="73478.7"/>
    <n v="920163.38"/>
    <s v="North India"/>
    <n v="5.3002149414435227"/>
    <n v="13.924332006822057"/>
    <n v="21.716884593519044"/>
    <n v="248.23885135135134"/>
    <n v="12.522858733211121"/>
  </r>
  <r>
    <d v="2024-06-30T00:00:00"/>
    <s v="AD001"/>
    <x v="1"/>
    <x v="1"/>
    <s v="17–21 Age"/>
    <n v="247894"/>
    <n v="9939"/>
    <n v="2312"/>
    <n v="1356"/>
    <n v="632"/>
    <n v="174102.28"/>
    <n v="4208262.5199999996"/>
    <s v="West India"/>
    <n v="4.0093749747876108"/>
    <n v="17.517082201428714"/>
    <n v="23.261897575208774"/>
    <n v="275.47829113924053"/>
    <n v="24.171208556257849"/>
  </r>
  <r>
    <d v="2024-07-01T00:00:00"/>
    <s v="AD001"/>
    <x v="1"/>
    <x v="1"/>
    <s v="17–21 Age"/>
    <n v="189966"/>
    <n v="6959"/>
    <n v="1711"/>
    <n v="797"/>
    <n v="357"/>
    <n v="128422.24"/>
    <n v="2524973.42"/>
    <s v="South India"/>
    <n v="3.6632871145362853"/>
    <n v="18.454122718781434"/>
    <n v="24.586865929012788"/>
    <n v="359.72616246498603"/>
    <n v="19.661496482229246"/>
  </r>
  <r>
    <d v="2024-07-02T00:00:00"/>
    <s v="AD001"/>
    <x v="1"/>
    <x v="1"/>
    <s v="17–21 Age"/>
    <n v="290368"/>
    <n v="17043"/>
    <n v="2956"/>
    <n v="1912"/>
    <n v="1082"/>
    <n v="182544.6"/>
    <n v="3348574.79"/>
    <s v="South India"/>
    <n v="5.8694484240687679"/>
    <n v="10.710825558880479"/>
    <n v="17.344364255119405"/>
    <n v="168.71035120147874"/>
    <n v="18.343872072907114"/>
  </r>
  <r>
    <d v="2024-07-03T00:00:00"/>
    <s v="AD001"/>
    <x v="1"/>
    <x v="1"/>
    <s v="17–21 Age"/>
    <n v="98624"/>
    <n v="5398"/>
    <n v="1025"/>
    <n v="555"/>
    <n v="234"/>
    <n v="58644.23"/>
    <n v="1605697.96"/>
    <s v="East India"/>
    <n v="5.4733127839065538"/>
    <n v="10.864066320859578"/>
    <n v="18.988514264542424"/>
    <n v="250.61636752136752"/>
    <n v="27.380323008759767"/>
  </r>
  <r>
    <d v="2024-07-04T00:00:00"/>
    <s v="AD001"/>
    <x v="1"/>
    <x v="1"/>
    <s v="17–21 Age"/>
    <n v="185544"/>
    <n v="8967"/>
    <n v="1881"/>
    <n v="974"/>
    <n v="497"/>
    <n v="143891.23000000001"/>
    <n v="2013575.82"/>
    <s v="North India"/>
    <n v="4.832815935842711"/>
    <n v="16.046752537080408"/>
    <n v="20.976915356306456"/>
    <n v="289.51957746478877"/>
    <n v="13.993735545939805"/>
  </r>
  <r>
    <d v="2024-07-05T00:00:00"/>
    <s v="AD001"/>
    <x v="1"/>
    <x v="1"/>
    <s v="17–21 Age"/>
    <n v="64345"/>
    <n v="2893"/>
    <n v="673"/>
    <n v="399"/>
    <n v="231"/>
    <n v="58397.08"/>
    <n v="1512057.86"/>
    <s v="East India"/>
    <n v="4.4960758411687003"/>
    <n v="20.185648116142413"/>
    <n v="23.263048738333911"/>
    <n v="252.80121212121213"/>
    <n v="25.892696347146124"/>
  </r>
  <r>
    <d v="2024-07-06T00:00:00"/>
    <s v="AD001"/>
    <x v="1"/>
    <x v="1"/>
    <s v="17–21 Age"/>
    <n v="260059"/>
    <n v="15459"/>
    <n v="2859"/>
    <n v="1616"/>
    <n v="748"/>
    <n v="238169.83"/>
    <n v="3760809.01"/>
    <s v="Pan India"/>
    <n v="5.9444203046231818"/>
    <n v="15.406548289022576"/>
    <n v="18.494081117795456"/>
    <n v="318.40886363636361"/>
    <n v="15.790450914794707"/>
  </r>
  <r>
    <d v="2024-07-07T00:00:00"/>
    <s v="AD001"/>
    <x v="1"/>
    <x v="1"/>
    <s v="17–21 Age"/>
    <n v="272679"/>
    <n v="12573"/>
    <n v="2386"/>
    <n v="1298"/>
    <n v="669"/>
    <n v="125239.22"/>
    <n v="4864239.68"/>
    <s v="East India"/>
    <n v="4.610916132155392"/>
    <n v="9.9609655611230412"/>
    <n v="18.977173307881969"/>
    <n v="187.20361733931242"/>
    <n v="38.839587790470105"/>
  </r>
  <r>
    <d v="2024-07-08T00:00:00"/>
    <s v="AD001"/>
    <x v="1"/>
    <x v="1"/>
    <s v="17–21 Age"/>
    <n v="248350"/>
    <n v="16741"/>
    <n v="2897"/>
    <n v="1713"/>
    <n v="861"/>
    <n v="217164.85"/>
    <n v="3498930.88"/>
    <s v="Pan India"/>
    <n v="6.7408898731628755"/>
    <n v="12.972035720685742"/>
    <n v="17.30482050056747"/>
    <n v="252.22398373983739"/>
    <n v="16.111865617294878"/>
  </r>
  <r>
    <d v="2024-07-09T00:00:00"/>
    <s v="AD001"/>
    <x v="1"/>
    <x v="1"/>
    <s v="17–21 Age"/>
    <n v="177393"/>
    <n v="7806"/>
    <n v="1826"/>
    <n v="1016"/>
    <n v="471"/>
    <n v="138014.22"/>
    <n v="3729596.77"/>
    <s v="Pan India"/>
    <n v="4.400399113832"/>
    <n v="17.680530361260569"/>
    <n v="23.392262362285422"/>
    <n v="293.02382165605098"/>
    <n v="27.023278978064724"/>
  </r>
  <r>
    <d v="2024-07-10T00:00:00"/>
    <s v="AD001"/>
    <x v="1"/>
    <x v="1"/>
    <s v="17–21 Age"/>
    <n v="151029"/>
    <n v="9303"/>
    <n v="1887"/>
    <n v="1057"/>
    <n v="498"/>
    <n v="70776.38"/>
    <n v="1931400.27"/>
    <s v="Pan India"/>
    <n v="6.1597441550960408"/>
    <n v="7.6079092765774483"/>
    <n v="20.283779425991614"/>
    <n v="142.12124497991968"/>
    <n v="27.28876879546538"/>
  </r>
  <r>
    <d v="2024-07-11T00:00:00"/>
    <s v="AD001"/>
    <x v="1"/>
    <x v="1"/>
    <s v="17–21 Age"/>
    <n v="53745"/>
    <n v="4296"/>
    <n v="787"/>
    <n v="354"/>
    <n v="145"/>
    <n v="28330.69"/>
    <n v="567612.72"/>
    <s v="North India"/>
    <n v="7.9933017024839517"/>
    <n v="6.5946671322160144"/>
    <n v="18.319366852886407"/>
    <n v="195.38406896551723"/>
    <n v="20.035259289484301"/>
  </r>
  <r>
    <d v="2024-07-12T00:00:00"/>
    <s v="AD001"/>
    <x v="1"/>
    <x v="1"/>
    <s v="17–21 Age"/>
    <n v="81985"/>
    <n v="2676"/>
    <n v="589"/>
    <n v="334"/>
    <n v="155"/>
    <n v="39730.86"/>
    <n v="1134386.5"/>
    <s v="East India"/>
    <n v="3.2640117094590471"/>
    <n v="14.847107623318387"/>
    <n v="22.010463378176382"/>
    <n v="256.32812903225806"/>
    <n v="28.551773105339276"/>
  </r>
  <r>
    <d v="2024-07-13T00:00:00"/>
    <s v="AD001"/>
    <x v="1"/>
    <x v="1"/>
    <s v="17–21 Age"/>
    <n v="101535"/>
    <n v="3234"/>
    <n v="704"/>
    <n v="418"/>
    <n v="167"/>
    <n v="49643.44"/>
    <n v="538637.71"/>
    <s v="South India"/>
    <n v="3.185108583247156"/>
    <n v="15.350476190476192"/>
    <n v="21.768707482993197"/>
    <n v="297.26610778443114"/>
    <n v="10.850128637338587"/>
  </r>
  <r>
    <d v="2024-07-14T00:00:00"/>
    <s v="AD001"/>
    <x v="1"/>
    <x v="1"/>
    <s v="17–21 Age"/>
    <n v="56203"/>
    <n v="3399"/>
    <n v="526"/>
    <n v="282"/>
    <n v="124"/>
    <n v="50748.12"/>
    <n v="703721.34"/>
    <s v="East India"/>
    <n v="6.0477198726046648"/>
    <n v="14.930308914386584"/>
    <n v="15.475139746984407"/>
    <n v="409.25903225806456"/>
    <n v="13.86694403654756"/>
  </r>
  <r>
    <d v="2024-07-15T00:00:00"/>
    <s v="AD001"/>
    <x v="1"/>
    <x v="1"/>
    <s v="17–21 Age"/>
    <n v="172571"/>
    <n v="12649"/>
    <n v="2920"/>
    <n v="1512"/>
    <n v="709"/>
    <n v="144033.44"/>
    <n v="4185547.5"/>
    <s v="West India"/>
    <n v="7.3297367460349649"/>
    <n v="11.386942841331331"/>
    <n v="23.084828840224525"/>
    <n v="203.1501269393512"/>
    <n v="29.059553809170982"/>
  </r>
  <r>
    <d v="2024-07-16T00:00:00"/>
    <s v="AD001"/>
    <x v="1"/>
    <x v="1"/>
    <s v="17–21 Age"/>
    <n v="206620"/>
    <n v="15320"/>
    <n v="3284"/>
    <n v="2077"/>
    <n v="936"/>
    <n v="107031.96"/>
    <n v="4032427.25"/>
    <s v="West India"/>
    <n v="7.4145774852386017"/>
    <n v="6.9864203655352481"/>
    <n v="21.436031331592691"/>
    <n v="114.35038461538463"/>
    <n v="37.674982780844147"/>
  </r>
  <r>
    <d v="2024-07-17T00:00:00"/>
    <s v="AD001"/>
    <x v="1"/>
    <x v="1"/>
    <s v="17–21 Age"/>
    <n v="238579"/>
    <n v="11277"/>
    <n v="1997"/>
    <n v="942"/>
    <n v="481"/>
    <n v="200472.94"/>
    <n v="1996665.29"/>
    <s v="West India"/>
    <n v="4.7267362173535812"/>
    <n v="17.777151724749491"/>
    <n v="17.708610446040613"/>
    <n v="416.78365904365904"/>
    <n v="9.9597745710717867"/>
  </r>
  <r>
    <d v="2024-07-18T00:00:00"/>
    <s v="AD001"/>
    <x v="1"/>
    <x v="1"/>
    <s v="17–21 Age"/>
    <n v="299596"/>
    <n v="13778"/>
    <n v="2469"/>
    <n v="1401"/>
    <n v="803"/>
    <n v="133225.18"/>
    <n v="4364604.8499999996"/>
    <s v="Pan India"/>
    <n v="4.5988597978611194"/>
    <n v="9.6694135578458411"/>
    <n v="17.919872260124837"/>
    <n v="165.90931506849313"/>
    <n v="32.76111054982249"/>
  </r>
  <r>
    <d v="2024-07-19T00:00:00"/>
    <s v="AD001"/>
    <x v="1"/>
    <x v="1"/>
    <s v="17–21 Age"/>
    <n v="289584"/>
    <n v="9928"/>
    <n v="1754"/>
    <n v="852"/>
    <n v="495"/>
    <n v="233553.6"/>
    <n v="1607665.33"/>
    <s v="North India"/>
    <n v="3.4283662080777946"/>
    <n v="23.524738114423851"/>
    <n v="17.66720386784851"/>
    <n v="471.82545454545453"/>
    <n v="6.8834962509676583"/>
  </r>
  <r>
    <d v="2024-07-20T00:00:00"/>
    <s v="AD001"/>
    <x v="1"/>
    <x v="1"/>
    <s v="17–21 Age"/>
    <n v="272890"/>
    <n v="10309"/>
    <n v="2371"/>
    <n v="1461"/>
    <n v="865"/>
    <n v="248690.64"/>
    <n v="6675094.5599999996"/>
    <s v="West India"/>
    <n v="3.7777126314632272"/>
    <n v="24.123643418372296"/>
    <n v="22.999320981666504"/>
    <n v="287.50363005780349"/>
    <n v="26.8409561373118"/>
  </r>
  <r>
    <d v="2024-07-21T00:00:00"/>
    <s v="AD001"/>
    <x v="1"/>
    <x v="1"/>
    <s v="17–21 Age"/>
    <n v="285905"/>
    <n v="8585"/>
    <n v="1949"/>
    <n v="993"/>
    <n v="582"/>
    <n v="254211.76"/>
    <n v="3218555.65"/>
    <s v="West India"/>
    <n v="3.0027456672670993"/>
    <n v="29.61115433896331"/>
    <n v="22.702387885847408"/>
    <n v="436.78996563573884"/>
    <n v="12.6609235151041"/>
  </r>
  <r>
    <d v="2024-07-22T00:00:00"/>
    <s v="AD001"/>
    <x v="1"/>
    <x v="1"/>
    <s v="17–21 Age"/>
    <n v="92579"/>
    <n v="6825"/>
    <n v="1236"/>
    <n v="768"/>
    <n v="372"/>
    <n v="46340.62"/>
    <n v="2501009.92"/>
    <s v="West India"/>
    <n v="7.3720822216701416"/>
    <n v="6.7898344322344331"/>
    <n v="18.109890109890109"/>
    <n v="124.57155913978495"/>
    <n v="53.970143688194071"/>
  </r>
  <r>
    <d v="2024-07-23T00:00:00"/>
    <s v="AD001"/>
    <x v="1"/>
    <x v="1"/>
    <s v="17–21 Age"/>
    <n v="262199"/>
    <n v="20171"/>
    <n v="3719"/>
    <n v="2289"/>
    <n v="1259"/>
    <n v="108832.62"/>
    <n v="8859616.1300000008"/>
    <s v="North India"/>
    <n v="7.6930117963836624"/>
    <n v="5.3954994794506961"/>
    <n v="18.437360567150858"/>
    <n v="86.443701350277991"/>
    <n v="81.405888510264674"/>
  </r>
  <r>
    <d v="2024-07-24T00:00:00"/>
    <s v="AD001"/>
    <x v="1"/>
    <x v="1"/>
    <s v="17–21 Age"/>
    <n v="198212"/>
    <n v="6874"/>
    <n v="1415"/>
    <n v="799"/>
    <n v="462"/>
    <n v="108824.3"/>
    <n v="3333666.45"/>
    <s v="Pan India"/>
    <n v="3.4680039553609268"/>
    <n v="15.831291824265348"/>
    <n v="20.58481233633983"/>
    <n v="235.5504329004329"/>
    <n v="30.63347478458396"/>
  </r>
  <r>
    <d v="2024-07-25T00:00:00"/>
    <s v="AD001"/>
    <x v="1"/>
    <x v="1"/>
    <s v="17–21 Age"/>
    <n v="118809"/>
    <n v="7312"/>
    <n v="1760"/>
    <n v="995"/>
    <n v="443"/>
    <n v="100651.52"/>
    <n v="2996388.37"/>
    <s v="West India"/>
    <n v="6.1544159112525145"/>
    <n v="13.765251641137857"/>
    <n v="24.070021881838073"/>
    <n v="227.20433408577878"/>
    <n v="29.769926673735281"/>
  </r>
  <r>
    <d v="2024-07-26T00:00:00"/>
    <s v="AD001"/>
    <x v="1"/>
    <x v="1"/>
    <s v="17–21 Age"/>
    <n v="182889"/>
    <n v="5572"/>
    <n v="878"/>
    <n v="401"/>
    <n v="226"/>
    <n v="93158.25"/>
    <n v="1525793.32"/>
    <s v="North India"/>
    <n v="3.0466567152753856"/>
    <n v="16.718996769562096"/>
    <n v="15.757358219669779"/>
    <n v="412.20464601769913"/>
    <n v="16.378509901162808"/>
  </r>
  <r>
    <d v="2024-07-27T00:00:00"/>
    <s v="AD001"/>
    <x v="1"/>
    <x v="1"/>
    <s v="17–21 Age"/>
    <n v="85016"/>
    <n v="3976"/>
    <n v="731"/>
    <n v="365"/>
    <n v="182"/>
    <n v="39557.93"/>
    <n v="1358545.74"/>
    <s v="South India"/>
    <n v="4.676766726263291"/>
    <n v="9.949177565392354"/>
    <n v="18.385311871227366"/>
    <n v="217.35126373626375"/>
    <n v="34.343195915458672"/>
  </r>
  <r>
    <d v="2024-07-28T00:00:00"/>
    <s v="AD001"/>
    <x v="1"/>
    <x v="1"/>
    <s v="17–21 Age"/>
    <n v="136206"/>
    <n v="8419"/>
    <n v="2017"/>
    <n v="1200"/>
    <n v="719"/>
    <n v="66697.45"/>
    <n v="3914237"/>
    <s v="West India"/>
    <n v="6.1810786602645997"/>
    <n v="7.9222532367264513"/>
    <n v="23.957714692956408"/>
    <n v="92.764186369958267"/>
    <n v="58.686456528697875"/>
  </r>
  <r>
    <d v="2024-07-29T00:00:00"/>
    <s v="AD001"/>
    <x v="1"/>
    <x v="1"/>
    <s v="17–21 Age"/>
    <n v="165347"/>
    <n v="11046"/>
    <n v="2068"/>
    <n v="1143"/>
    <n v="503"/>
    <n v="143383.04000000001"/>
    <n v="1991695.9"/>
    <s v="South India"/>
    <n v="6.6804961686634776"/>
    <n v="12.980539561832337"/>
    <n v="18.721709216005795"/>
    <n v="285.05574552683896"/>
    <n v="13.890735612803297"/>
  </r>
  <r>
    <d v="2024-07-30T00:00:00"/>
    <s v="AD001"/>
    <x v="1"/>
    <x v="1"/>
    <s v="17–21 Age"/>
    <n v="293930"/>
    <n v="12917"/>
    <n v="3074"/>
    <n v="1552"/>
    <n v="860"/>
    <n v="135737.98000000001"/>
    <n v="4957159.97"/>
    <s v="West India"/>
    <n v="4.3945837444289451"/>
    <n v="10.508475652241234"/>
    <n v="23.798095533018504"/>
    <n v="157.83486046511629"/>
    <n v="36.520065865132217"/>
  </r>
  <r>
    <d v="2024-07-31T00:00:00"/>
    <s v="AD001"/>
    <x v="1"/>
    <x v="1"/>
    <s v="17–21 Age"/>
    <n v="143598"/>
    <n v="9751"/>
    <n v="1930"/>
    <n v="965"/>
    <n v="442"/>
    <n v="121893.19"/>
    <n v="1449676.75"/>
    <s v="Pan India"/>
    <n v="6.7904845471385391"/>
    <n v="12.500583529894371"/>
    <n v="19.792841759819506"/>
    <n v="275.77644796380093"/>
    <n v="11.893008542971105"/>
  </r>
  <r>
    <d v="2024-08-01T00:00:00"/>
    <s v="AD001"/>
    <x v="1"/>
    <x v="1"/>
    <s v="17–21 Age"/>
    <n v="54410"/>
    <n v="4309"/>
    <n v="693"/>
    <n v="357"/>
    <n v="191"/>
    <n v="48121.46"/>
    <n v="1063428.31"/>
    <s v="North India"/>
    <n v="7.9195000918948724"/>
    <n v="11.167663030865629"/>
    <n v="16.082617776746343"/>
    <n v="251.94481675392669"/>
    <n v="22.098837192387762"/>
  </r>
  <r>
    <d v="2024-08-01T00:00:00"/>
    <s v="AD005"/>
    <x v="2"/>
    <x v="2"/>
    <s v="22–27 Age"/>
    <n v="100600"/>
    <n v="4426"/>
    <n v="1006"/>
    <n v="578"/>
    <n v="315"/>
    <n v="88124.93"/>
    <n v="2363533.5"/>
    <s v="South India"/>
    <n v="4.3996023856858848"/>
    <n v="19.910738816086759"/>
    <n v="22.729326705829191"/>
    <n v="279.76168253968251"/>
    <n v="26.82025960190834"/>
  </r>
  <r>
    <d v="2024-08-02T00:00:00"/>
    <s v="AD001"/>
    <x v="1"/>
    <x v="1"/>
    <s v="17–21 Age"/>
    <n v="132675"/>
    <n v="10342"/>
    <n v="1904"/>
    <n v="862"/>
    <n v="374"/>
    <n v="113475.65"/>
    <n v="1926663.81"/>
    <s v="North India"/>
    <n v="7.7949877520256265"/>
    <n v="10.97231193192806"/>
    <n v="18.410365499903307"/>
    <n v="303.41082887700532"/>
    <n v="16.978654098919019"/>
  </r>
  <r>
    <d v="2024-08-02T00:00:00"/>
    <s v="AD005"/>
    <x v="2"/>
    <x v="2"/>
    <s v="17–21 Age"/>
    <n v="120721"/>
    <n v="9109"/>
    <n v="1747"/>
    <n v="1023"/>
    <n v="521"/>
    <n v="75049.88"/>
    <n v="2509324.06"/>
    <s v="North India"/>
    <n v="7.5454974693715258"/>
    <n v="8.2390910088923039"/>
    <n v="19.178834120100998"/>
    <n v="144.0496737044146"/>
    <n v="33.435417351766581"/>
  </r>
  <r>
    <d v="2024-08-03T00:00:00"/>
    <s v="AD001"/>
    <x v="1"/>
    <x v="1"/>
    <s v="17–21 Age"/>
    <n v="200741"/>
    <n v="11692"/>
    <n v="2445"/>
    <n v="1190"/>
    <n v="664"/>
    <n v="136500.62"/>
    <n v="3345576.76"/>
    <s v="South India"/>
    <n v="5.8244205219661156"/>
    <n v="11.674702360588435"/>
    <n v="20.911734519329457"/>
    <n v="205.57322289156625"/>
    <n v="24.509608527785442"/>
  </r>
  <r>
    <d v="2024-08-03T00:00:00"/>
    <s v="AD005"/>
    <x v="2"/>
    <x v="2"/>
    <s v="17–21 Age"/>
    <n v="208142"/>
    <n v="16098"/>
    <n v="3655"/>
    <n v="2210"/>
    <n v="1252"/>
    <n v="141729.43"/>
    <n v="7709099.5499999998"/>
    <s v="Pan India"/>
    <n v="7.7341430369651496"/>
    <n v="8.8041638712883579"/>
    <n v="22.704683811653624"/>
    <n v="113.20242012779552"/>
    <n v="54.39307524202983"/>
  </r>
  <r>
    <d v="2024-08-04T00:00:00"/>
    <s v="AD001"/>
    <x v="1"/>
    <x v="1"/>
    <s v="17–21 Age"/>
    <n v="62326"/>
    <n v="2288"/>
    <n v="416"/>
    <n v="208"/>
    <n v="97"/>
    <n v="53808.35"/>
    <n v="514275.89"/>
    <s v="West India"/>
    <n v="3.6710201200141195"/>
    <n v="23.517635489510489"/>
    <n v="18.181818181818183"/>
    <n v="554.72525773195878"/>
    <n v="9.557548038547921"/>
  </r>
  <r>
    <d v="2024-08-04T00:00:00"/>
    <s v="AD005"/>
    <x v="2"/>
    <x v="2"/>
    <s v="22–27 Age"/>
    <n v="60178"/>
    <n v="3164"/>
    <n v="594"/>
    <n v="300"/>
    <n v="141"/>
    <n v="36780.379999999997"/>
    <n v="638055.97"/>
    <s v="East India"/>
    <n v="5.2577353850244277"/>
    <n v="11.624646017699114"/>
    <n v="18.773704171934259"/>
    <n v="260.85375886524821"/>
    <n v="17.347726423707424"/>
  </r>
  <r>
    <d v="2024-08-05T00:00:00"/>
    <s v="AD001"/>
    <x v="1"/>
    <x v="1"/>
    <s v="17–21 Age"/>
    <n v="105561"/>
    <n v="6091"/>
    <n v="1210"/>
    <n v="657"/>
    <n v="361"/>
    <n v="58132.88"/>
    <n v="1085319.27"/>
    <s v="South India"/>
    <n v="5.7701234357385776"/>
    <n v="9.5440617304219337"/>
    <n v="19.865375143654575"/>
    <n v="161.03290858725762"/>
    <n v="18.669628444350256"/>
  </r>
  <r>
    <d v="2024-08-05T00:00:00"/>
    <s v="AD005"/>
    <x v="2"/>
    <x v="2"/>
    <s v="17–21 Age"/>
    <n v="108128"/>
    <n v="4562"/>
    <n v="1033"/>
    <n v="586"/>
    <n v="260"/>
    <n v="58193.29"/>
    <n v="1634560.79"/>
    <s v="South India"/>
    <n v="4.2190736904409585"/>
    <n v="12.756091626479614"/>
    <n v="22.643577378342833"/>
    <n v="223.82034615384615"/>
    <n v="28.088475320780113"/>
  </r>
  <r>
    <d v="2024-08-06T00:00:00"/>
    <s v="AD001"/>
    <x v="1"/>
    <x v="1"/>
    <s v="17–21 Age"/>
    <n v="96715"/>
    <n v="4883"/>
    <n v="1120"/>
    <n v="538"/>
    <n v="232"/>
    <n v="43537.41"/>
    <n v="1813996.79"/>
    <s v="East India"/>
    <n v="5.0488548829033757"/>
    <n v="8.9161191890231422"/>
    <n v="22.93671922998157"/>
    <n v="187.66125000000002"/>
    <n v="41.665243522754338"/>
  </r>
  <r>
    <d v="2024-08-06T00:00:00"/>
    <s v="AD005"/>
    <x v="2"/>
    <x v="2"/>
    <s v="25–35 Age"/>
    <n v="99786"/>
    <n v="4538"/>
    <n v="843"/>
    <n v="475"/>
    <n v="270"/>
    <n v="86472.87"/>
    <n v="1992669.9"/>
    <s v="North India"/>
    <n v="4.5477321467941394"/>
    <n v="19.055282062582634"/>
    <n v="18.576465403261349"/>
    <n v="320.26988888888889"/>
    <n v="23.043873760637297"/>
  </r>
  <r>
    <d v="2024-08-07T00:00:00"/>
    <s v="AD001"/>
    <x v="1"/>
    <x v="1"/>
    <s v="17–21 Age"/>
    <n v="297887"/>
    <n v="19916"/>
    <n v="3329"/>
    <n v="2125"/>
    <n v="936"/>
    <n v="270727.95"/>
    <n v="2895011.75"/>
    <s v="West India"/>
    <n v="6.6857566795462704"/>
    <n v="13.5934901586664"/>
    <n v="16.715203856196023"/>
    <n v="289.23926282051281"/>
    <n v="10.693435051681956"/>
  </r>
  <r>
    <d v="2024-08-07T00:00:00"/>
    <s v="AD005"/>
    <x v="2"/>
    <x v="2"/>
    <s v="17–21 Age"/>
    <n v="54376"/>
    <n v="2198"/>
    <n v="530"/>
    <n v="240"/>
    <n v="98"/>
    <n v="48889.03"/>
    <n v="404235.06"/>
    <s v="Pan India"/>
    <n v="4.0422245108135941"/>
    <n v="22.242506824385806"/>
    <n v="24.112829845313922"/>
    <n v="498.86765306122447"/>
    <n v="8.268420543422522"/>
  </r>
  <r>
    <d v="2024-08-08T00:00:00"/>
    <s v="AD001"/>
    <x v="1"/>
    <x v="1"/>
    <s v="17–21 Age"/>
    <n v="88036"/>
    <n v="3843"/>
    <n v="807"/>
    <n v="511"/>
    <n v="208"/>
    <n v="69666.14"/>
    <n v="1270694.45"/>
    <s v="Pan India"/>
    <n v="4.3652596665000685"/>
    <n v="18.128061410356491"/>
    <n v="20.999219359875099"/>
    <n v="334.9333653846154"/>
    <n v="18.239771142767491"/>
  </r>
  <r>
    <d v="2024-08-08T00:00:00"/>
    <s v="AD005"/>
    <x v="2"/>
    <x v="2"/>
    <s v="17–21 Age"/>
    <n v="276523"/>
    <n v="11747"/>
    <n v="1913"/>
    <n v="1099"/>
    <n v="451"/>
    <n v="112550.84"/>
    <n v="3062511.38"/>
    <s v="West India"/>
    <n v="4.2481095605067205"/>
    <n v="9.581241167957776"/>
    <n v="16.285008938452371"/>
    <n v="249.55840354767184"/>
    <n v="27.210026864304165"/>
  </r>
  <r>
    <d v="2024-08-09T00:00:00"/>
    <s v="AD001"/>
    <x v="1"/>
    <x v="1"/>
    <s v="17–21 Age"/>
    <n v="61270"/>
    <n v="3608"/>
    <n v="771"/>
    <n v="487"/>
    <n v="203"/>
    <n v="48486.67"/>
    <n v="1016705.47"/>
    <s v="South India"/>
    <n v="5.8886894075403946"/>
    <n v="13.43865576496674"/>
    <n v="21.369179600886916"/>
    <n v="238.85059113300491"/>
    <n v="20.968762548552004"/>
  </r>
  <r>
    <d v="2024-08-09T00:00:00"/>
    <s v="AD005"/>
    <x v="2"/>
    <x v="2"/>
    <s v="25–35 Age"/>
    <n v="175935"/>
    <n v="8558"/>
    <n v="1832"/>
    <n v="1035"/>
    <n v="601"/>
    <n v="163462.72"/>
    <n v="2873827.39"/>
    <s v="East India"/>
    <n v="4.864296473129281"/>
    <n v="19.100574900677728"/>
    <n v="21.40687076419724"/>
    <n v="271.98455906821965"/>
    <n v="17.580934600868016"/>
  </r>
  <r>
    <d v="2024-08-10T00:00:00"/>
    <s v="AD001"/>
    <x v="1"/>
    <x v="1"/>
    <s v="17–21 Age"/>
    <n v="270202"/>
    <n v="19267"/>
    <n v="3864"/>
    <n v="1957"/>
    <n v="1169"/>
    <n v="132916.07999999999"/>
    <n v="5811867.04"/>
    <s v="Pan India"/>
    <n v="7.1305911873339207"/>
    <n v="6.8986391238905895"/>
    <n v="20.055016349198109"/>
    <n v="113.70066723695466"/>
    <n v="43.72583843881042"/>
  </r>
  <r>
    <d v="2024-08-10T00:00:00"/>
    <s v="AD005"/>
    <x v="2"/>
    <x v="2"/>
    <s v="17–21 Age"/>
    <n v="70308"/>
    <n v="4870"/>
    <n v="930"/>
    <n v="492"/>
    <n v="251"/>
    <n v="51723.19"/>
    <n v="1262103.52"/>
    <s v="South India"/>
    <n v="6.9266655288160655"/>
    <n v="10.620778234086243"/>
    <n v="19.096509240246405"/>
    <n v="206.0684860557769"/>
    <n v="24.401115244438714"/>
  </r>
  <r>
    <d v="2024-08-11T00:00:00"/>
    <s v="AD001"/>
    <x v="1"/>
    <x v="1"/>
    <s v="17–21 Age"/>
    <n v="206790"/>
    <n v="15329"/>
    <n v="3569"/>
    <n v="2038"/>
    <n v="1076"/>
    <n v="151435.23000000001"/>
    <n v="8479988.8300000001"/>
    <s v="South India"/>
    <n v="7.4128342763189705"/>
    <n v="9.8790025441972737"/>
    <n v="23.282666840628874"/>
    <n v="140.73906133828999"/>
    <n v="55.997463932269916"/>
  </r>
  <r>
    <d v="2024-08-11T00:00:00"/>
    <s v="AD005"/>
    <x v="2"/>
    <x v="2"/>
    <s v="25–35 Age"/>
    <n v="239465"/>
    <n v="10006"/>
    <n v="1533"/>
    <n v="767"/>
    <n v="445"/>
    <n v="119177.15"/>
    <n v="3554173.67"/>
    <s v="North India"/>
    <n v="4.1784811976698055"/>
    <n v="11.910568658804717"/>
    <n v="15.320807515490706"/>
    <n v="267.81382022471911"/>
    <n v="29.822610038921052"/>
  </r>
  <r>
    <d v="2024-08-12T00:00:00"/>
    <s v="AD001"/>
    <x v="1"/>
    <x v="1"/>
    <s v="17–21 Age"/>
    <n v="143259"/>
    <n v="4765"/>
    <n v="1041"/>
    <n v="609"/>
    <n v="246"/>
    <n v="103534"/>
    <n v="1950084.07"/>
    <s v="Pan India"/>
    <n v="3.3261435581708652"/>
    <n v="21.728016789087093"/>
    <n v="21.846799580272823"/>
    <n v="420.869918699187"/>
    <n v="18.835204570479263"/>
  </r>
  <r>
    <d v="2024-08-12T00:00:00"/>
    <s v="AD005"/>
    <x v="2"/>
    <x v="2"/>
    <s v="25–35 Age"/>
    <n v="60504"/>
    <n v="2239"/>
    <n v="539"/>
    <n v="322"/>
    <n v="184"/>
    <n v="54506.92"/>
    <n v="1051156.08"/>
    <s v="Pan India"/>
    <n v="3.7005817797170435"/>
    <n v="24.344314426083073"/>
    <n v="24.073246985261278"/>
    <n v="296.23326086956519"/>
    <n v="19.284818881712635"/>
  </r>
  <r>
    <d v="2024-08-13T00:00:00"/>
    <s v="AD001"/>
    <x v="1"/>
    <x v="1"/>
    <s v="17–21 Age"/>
    <n v="203962"/>
    <n v="9650"/>
    <n v="2394"/>
    <n v="1402"/>
    <n v="591"/>
    <n v="143265.17000000001"/>
    <n v="2808713.52"/>
    <s v="North India"/>
    <n v="4.7312734725095851"/>
    <n v="14.846131606217618"/>
    <n v="24.808290155440417"/>
    <n v="242.41145516074451"/>
    <n v="19.60499903779823"/>
  </r>
  <r>
    <d v="2024-08-13T00:00:00"/>
    <s v="AD005"/>
    <x v="2"/>
    <x v="2"/>
    <s v="17–21 Age"/>
    <n v="140195"/>
    <n v="9654"/>
    <n v="1913"/>
    <n v="1044"/>
    <n v="524"/>
    <n v="78718.460000000006"/>
    <n v="3267340.14"/>
    <s v="West India"/>
    <n v="6.886122900246086"/>
    <n v="8.1539734824943029"/>
    <n v="19.815620468199711"/>
    <n v="150.22606870229009"/>
    <n v="41.506657269463858"/>
  </r>
  <r>
    <d v="2024-08-14T00:00:00"/>
    <s v="AD001"/>
    <x v="1"/>
    <x v="1"/>
    <s v="17–21 Age"/>
    <n v="93684"/>
    <n v="5805"/>
    <n v="1305"/>
    <n v="670"/>
    <n v="372"/>
    <n v="41067.660000000003"/>
    <n v="1553036.39"/>
    <s v="West India"/>
    <n v="6.1963622390162678"/>
    <n v="7.0745322997416027"/>
    <n v="22.480620155038761"/>
    <n v="110.39693548387098"/>
    <n v="37.816529843677479"/>
  </r>
  <r>
    <d v="2024-08-14T00:00:00"/>
    <s v="AD005"/>
    <x v="2"/>
    <x v="2"/>
    <s v="25–35 Age"/>
    <n v="184290"/>
    <n v="10858"/>
    <n v="2176"/>
    <n v="991"/>
    <n v="427"/>
    <n v="163226.63"/>
    <n v="1995132.12"/>
    <s v="South India"/>
    <n v="5.8918009658690114"/>
    <n v="15.032844906981028"/>
    <n v="20.040523116596059"/>
    <n v="382.26377049180331"/>
    <n v="12.223079775646903"/>
  </r>
  <r>
    <d v="2024-08-15T00:00:00"/>
    <s v="AD001"/>
    <x v="1"/>
    <x v="1"/>
    <s v="17–21 Age"/>
    <n v="246897"/>
    <n v="8565"/>
    <n v="2017"/>
    <n v="1112"/>
    <n v="614"/>
    <n v="246807.4"/>
    <n v="4424382.49"/>
    <s v="North India"/>
    <n v="3.4690579472411573"/>
    <n v="28.815808523058958"/>
    <n v="23.54932866316404"/>
    <n v="401.96644951140064"/>
    <n v="17.926457999233413"/>
  </r>
  <r>
    <d v="2024-08-15T00:00:00"/>
    <s v="AD005"/>
    <x v="2"/>
    <x v="2"/>
    <s v="17–21 Age"/>
    <n v="75772"/>
    <n v="2986"/>
    <n v="585"/>
    <n v="343"/>
    <n v="194"/>
    <n v="50358.62"/>
    <n v="1510026.78"/>
    <s v="North India"/>
    <n v="3.9407696774534129"/>
    <n v="16.864909578030812"/>
    <n v="19.591426657736104"/>
    <n v="259.58051546391755"/>
    <n v="29.98546783053229"/>
  </r>
  <r>
    <d v="2024-08-16T00:00:00"/>
    <s v="AD001"/>
    <x v="1"/>
    <x v="1"/>
    <s v="17–21 Age"/>
    <n v="259857"/>
    <n v="18951"/>
    <n v="3776"/>
    <n v="2370"/>
    <n v="1066"/>
    <n v="110740.59"/>
    <n v="3876986.66"/>
    <s v="North India"/>
    <n v="7.2928572253200805"/>
    <n v="5.8435222415703656"/>
    <n v="19.925069917154765"/>
    <n v="103.88423076923077"/>
    <n v="35.009626190360734"/>
  </r>
  <r>
    <d v="2024-08-16T00:00:00"/>
    <s v="AD005"/>
    <x v="2"/>
    <x v="2"/>
    <s v="25–35 Age"/>
    <n v="147185"/>
    <n v="8624"/>
    <n v="2052"/>
    <n v="1243"/>
    <n v="630"/>
    <n v="102580.43"/>
    <n v="3446317.81"/>
    <s v="West India"/>
    <n v="5.8592927268403709"/>
    <n v="11.894762291280147"/>
    <n v="23.794063079777366"/>
    <n v="162.82607936507935"/>
    <n v="33.596250376411959"/>
  </r>
  <r>
    <d v="2024-08-17T00:00:00"/>
    <s v="AD001"/>
    <x v="1"/>
    <x v="1"/>
    <s v="17–21 Age"/>
    <n v="160425"/>
    <n v="11372"/>
    <n v="2306"/>
    <n v="1230"/>
    <n v="588"/>
    <n v="133747.28"/>
    <n v="2831000.7"/>
    <s v="North India"/>
    <n v="7.0886707184042388"/>
    <n v="11.761104467112204"/>
    <n v="20.277875483644038"/>
    <n v="227.46136054421768"/>
    <n v="21.166790831185502"/>
  </r>
  <r>
    <d v="2024-08-17T00:00:00"/>
    <s v="AD005"/>
    <x v="2"/>
    <x v="2"/>
    <s v="22–27 Age"/>
    <n v="196487"/>
    <n v="8699"/>
    <n v="1691"/>
    <n v="1051"/>
    <n v="613"/>
    <n v="171743.84"/>
    <n v="3311850.86"/>
    <s v="South India"/>
    <n v="4.4272649081109696"/>
    <n v="19.742940567881366"/>
    <n v="19.439015978848143"/>
    <n v="280.16939641109298"/>
    <n v="19.283666069187692"/>
  </r>
  <r>
    <d v="2024-08-18T00:00:00"/>
    <s v="AD001"/>
    <x v="1"/>
    <x v="1"/>
    <s v="17–21 Age"/>
    <n v="136692"/>
    <n v="7477"/>
    <n v="1371"/>
    <n v="764"/>
    <n v="442"/>
    <n v="120425.27"/>
    <n v="2071543.89"/>
    <s v="West India"/>
    <n v="5.4699616656424661"/>
    <n v="16.106094690383845"/>
    <n v="18.33623110873345"/>
    <n v="272.45536199095022"/>
    <n v="17.201903637002431"/>
  </r>
  <r>
    <d v="2024-08-18T00:00:00"/>
    <s v="AD005"/>
    <x v="2"/>
    <x v="2"/>
    <s v="25–35 Age"/>
    <n v="254671"/>
    <n v="15131"/>
    <n v="3100"/>
    <n v="1454"/>
    <n v="638"/>
    <n v="167140.01"/>
    <n v="4151995.55"/>
    <s v="West India"/>
    <n v="5.941391049628737"/>
    <n v="11.046197211023726"/>
    <n v="20.487740400502279"/>
    <n v="261.97493730407524"/>
    <n v="24.841422170550306"/>
  </r>
  <r>
    <d v="2024-08-19T00:00:00"/>
    <s v="AD001"/>
    <x v="1"/>
    <x v="1"/>
    <s v="17–21 Age"/>
    <n v="167681"/>
    <n v="13225"/>
    <n v="2990"/>
    <n v="1842"/>
    <n v="894"/>
    <n v="92404.26"/>
    <n v="6148023.7000000002"/>
    <s v="North India"/>
    <n v="7.8869997197058703"/>
    <n v="6.9870896030245744"/>
    <n v="22.608695652173914"/>
    <n v="103.36046979865772"/>
    <n v="66.533985554345662"/>
  </r>
  <r>
    <d v="2024-08-19T00:00:00"/>
    <s v="AD005"/>
    <x v="2"/>
    <x v="2"/>
    <s v="17–21 Age"/>
    <n v="150411"/>
    <n v="8934"/>
    <n v="1854"/>
    <n v="1043"/>
    <n v="438"/>
    <n v="83953.46"/>
    <n v="3329055.06"/>
    <s v="East India"/>
    <n v="5.939725153080559"/>
    <n v="9.3970740989478401"/>
    <n v="20.752182672934854"/>
    <n v="191.67456621004567"/>
    <n v="39.653577827524913"/>
  </r>
  <r>
    <d v="2024-08-20T00:00:00"/>
    <s v="AD001"/>
    <x v="1"/>
    <x v="1"/>
    <s v="17–21 Age"/>
    <n v="50916"/>
    <n v="2686"/>
    <n v="642"/>
    <n v="387"/>
    <n v="160"/>
    <n v="34435.4"/>
    <n v="774444.94"/>
    <s v="North India"/>
    <n v="5.2753554874695574"/>
    <n v="12.820327624720775"/>
    <n v="23.901712583767683"/>
    <n v="215.22125"/>
    <n v="22.489790738600391"/>
  </r>
  <r>
    <d v="2024-08-20T00:00:00"/>
    <s v="AD005"/>
    <x v="2"/>
    <x v="2"/>
    <s v="22–27 Age"/>
    <n v="266600"/>
    <n v="18274"/>
    <n v="4074"/>
    <n v="2224"/>
    <n v="907"/>
    <n v="192783.02"/>
    <n v="4819731.1399999997"/>
    <s v="South India"/>
    <n v="6.8544636159039758"/>
    <n v="10.549579730765021"/>
    <n v="22.293969574258512"/>
    <n v="212.5501874310915"/>
    <n v="25.000807332512998"/>
  </r>
  <r>
    <d v="2024-08-21T00:00:00"/>
    <s v="AD001"/>
    <x v="1"/>
    <x v="1"/>
    <s v="17–21 Age"/>
    <n v="246115"/>
    <n v="17238"/>
    <n v="2715"/>
    <n v="1569"/>
    <n v="816"/>
    <n v="239237.62"/>
    <n v="5018704.7300000004"/>
    <s v="East India"/>
    <n v="7.0040428255084013"/>
    <n v="13.878502146420699"/>
    <n v="15.750087017055343"/>
    <n v="293.18335784313723"/>
    <n v="20.977907780557256"/>
  </r>
  <r>
    <d v="2024-08-21T00:00:00"/>
    <s v="AD005"/>
    <x v="2"/>
    <x v="2"/>
    <s v="17–21 Age"/>
    <n v="286047"/>
    <n v="14611"/>
    <n v="3332"/>
    <n v="1656"/>
    <n v="978"/>
    <n v="195179.76"/>
    <n v="5342189.13"/>
    <s v="North India"/>
    <n v="5.107901848297657"/>
    <n v="13.358412155225516"/>
    <n v="22.804736157689412"/>
    <n v="199.57030674846627"/>
    <n v="27.370610200565878"/>
  </r>
  <r>
    <d v="2024-08-22T00:00:00"/>
    <s v="AD001"/>
    <x v="1"/>
    <x v="1"/>
    <s v="17–21 Age"/>
    <n v="55434"/>
    <n v="3340"/>
    <n v="628"/>
    <n v="299"/>
    <n v="157"/>
    <n v="47688.639999999999"/>
    <n v="567663.31000000006"/>
    <s v="Pan India"/>
    <n v="6.0251831006241661"/>
    <n v="14.278035928143712"/>
    <n v="18.802395209580837"/>
    <n v="303.74929936305733"/>
    <n v="11.903533210424959"/>
  </r>
  <r>
    <d v="2024-08-22T00:00:00"/>
    <s v="AD005"/>
    <x v="2"/>
    <x v="2"/>
    <s v="17–21 Age"/>
    <n v="138420"/>
    <n v="9190"/>
    <n v="1758"/>
    <n v="895"/>
    <n v="476"/>
    <n v="121775.58"/>
    <n v="3796435.52"/>
    <s v="South India"/>
    <n v="6.6392139864181479"/>
    <n v="13.250879216539717"/>
    <n v="19.12948857453754"/>
    <n v="255.83105042016808"/>
    <n v="31.175671838311096"/>
  </r>
  <r>
    <d v="2024-08-23T00:00:00"/>
    <s v="AD001"/>
    <x v="1"/>
    <x v="1"/>
    <s v="17–21 Age"/>
    <n v="212121"/>
    <n v="8521"/>
    <n v="1831"/>
    <n v="1065"/>
    <n v="523"/>
    <n v="210422.93"/>
    <n v="1816349.21"/>
    <s v="South India"/>
    <n v="4.0170468741897318"/>
    <n v="24.69462856472245"/>
    <n v="21.488088252552519"/>
    <n v="402.33829827915866"/>
    <n v="8.6318977214127752"/>
  </r>
  <r>
    <d v="2024-08-23T00:00:00"/>
    <s v="AD005"/>
    <x v="2"/>
    <x v="2"/>
    <s v="22–27 Age"/>
    <n v="174155"/>
    <n v="7729"/>
    <n v="1269"/>
    <n v="726"/>
    <n v="423"/>
    <n v="114529.99"/>
    <n v="1755445.01"/>
    <s v="South India"/>
    <n v="4.4380006316212572"/>
    <n v="14.818215810583517"/>
    <n v="16.418682882649762"/>
    <n v="270.75647754137117"/>
    <n v="15.327382897702165"/>
  </r>
  <r>
    <d v="2024-08-24T00:00:00"/>
    <s v="AD001"/>
    <x v="1"/>
    <x v="1"/>
    <s v="17–21 Age"/>
    <n v="298055"/>
    <n v="23238"/>
    <n v="3774"/>
    <n v="2035"/>
    <n v="1015"/>
    <n v="255249.45"/>
    <n v="5574248.1399999997"/>
    <s v="West India"/>
    <n v="7.7965476170505452"/>
    <n v="10.984140201394268"/>
    <n v="16.240640330493157"/>
    <n v="251.4772906403941"/>
    <n v="21.838433501032029"/>
  </r>
  <r>
    <d v="2024-08-24T00:00:00"/>
    <s v="AD005"/>
    <x v="2"/>
    <x v="2"/>
    <s v="17–21 Age"/>
    <n v="73433"/>
    <n v="3246"/>
    <n v="574"/>
    <n v="335"/>
    <n v="163"/>
    <n v="43645.42"/>
    <n v="1029954.06"/>
    <s v="Pan India"/>
    <n v="4.4203559707488456"/>
    <n v="13.445908810844115"/>
    <n v="17.683302526186075"/>
    <n v="267.76331288343556"/>
    <n v="23.598216261866654"/>
  </r>
  <r>
    <d v="2024-08-25T00:00:00"/>
    <s v="AD001"/>
    <x v="1"/>
    <x v="1"/>
    <s v="17–21 Age"/>
    <n v="273318"/>
    <n v="12830"/>
    <n v="2725"/>
    <n v="1477"/>
    <n v="719"/>
    <n v="249800.87"/>
    <n v="3360100.1"/>
    <s v="West India"/>
    <n v="4.6941657702749175"/>
    <n v="19.470060015588466"/>
    <n v="21.239282930631333"/>
    <n v="347.42819193324061"/>
    <n v="13.45111448170697"/>
  </r>
  <r>
    <d v="2024-08-25T00:00:00"/>
    <s v="AD005"/>
    <x v="2"/>
    <x v="2"/>
    <s v="17–21 Age"/>
    <n v="190927"/>
    <n v="8324"/>
    <n v="1746"/>
    <n v="1040"/>
    <n v="502"/>
    <n v="153681.46"/>
    <n v="1737263.59"/>
    <s v="West India"/>
    <n v="4.359781487165252"/>
    <n v="18.462453147525228"/>
    <n v="20.975492551657858"/>
    <n v="306.13836653386454"/>
    <n v="11.304314716947641"/>
  </r>
  <r>
    <d v="2024-08-26T00:00:00"/>
    <s v="AD001"/>
    <x v="1"/>
    <x v="1"/>
    <s v="17–21 Age"/>
    <n v="280548"/>
    <n v="22400"/>
    <n v="3381"/>
    <n v="2001"/>
    <n v="1115"/>
    <n v="243363.91"/>
    <n v="7580435.5999999996"/>
    <s v="Pan India"/>
    <n v="7.984373440552063"/>
    <n v="10.864460267857144"/>
    <n v="15.09375"/>
    <n v="218.26359641255607"/>
    <n v="31.148561017120407"/>
  </r>
  <r>
    <d v="2024-08-26T00:00:00"/>
    <s v="AD005"/>
    <x v="2"/>
    <x v="2"/>
    <s v="17–21 Age"/>
    <n v="285397"/>
    <n v="15333"/>
    <n v="2569"/>
    <n v="1619"/>
    <n v="881"/>
    <n v="167612.44"/>
    <n v="5312696.4800000004"/>
    <s v="Pan India"/>
    <n v="5.3725161792170208"/>
    <n v="10.931483727907128"/>
    <n v="16.754712058957804"/>
    <n v="190.25248581157774"/>
    <n v="31.696313710366606"/>
  </r>
  <r>
    <d v="2024-08-27T00:00:00"/>
    <s v="AD001"/>
    <x v="1"/>
    <x v="1"/>
    <s v="17–21 Age"/>
    <n v="230587"/>
    <n v="11780"/>
    <n v="2103"/>
    <n v="985"/>
    <n v="557"/>
    <n v="170545.05"/>
    <n v="2172105.58"/>
    <s v="North India"/>
    <n v="5.1087008374279552"/>
    <n v="14.477508488964345"/>
    <n v="17.852292020373515"/>
    <n v="306.18500897666064"/>
    <n v="12.73625695967136"/>
  </r>
  <r>
    <d v="2024-08-27T00:00:00"/>
    <s v="AD005"/>
    <x v="2"/>
    <x v="2"/>
    <s v="22–27 Age"/>
    <n v="239102"/>
    <n v="11777"/>
    <n v="2683"/>
    <n v="1443"/>
    <n v="793"/>
    <n v="178773.39"/>
    <n v="6237099.54"/>
    <s v="South India"/>
    <n v="4.925512960995726"/>
    <n v="15.179875180436445"/>
    <n v="22.781693130678441"/>
    <n v="225.43933165195463"/>
    <n v="34.888299315686744"/>
  </r>
  <r>
    <d v="2024-08-28T00:00:00"/>
    <s v="AD001"/>
    <x v="1"/>
    <x v="1"/>
    <s v="17–21 Age"/>
    <n v="122769"/>
    <n v="4992"/>
    <n v="1154"/>
    <n v="639"/>
    <n v="335"/>
    <n v="76198.02"/>
    <n v="1803614.19"/>
    <s v="East India"/>
    <n v="4.0661730567162717"/>
    <n v="15.264026442307694"/>
    <n v="23.116987179487182"/>
    <n v="227.456776119403"/>
    <n v="23.670092608705577"/>
  </r>
  <r>
    <d v="2024-08-28T00:00:00"/>
    <s v="AD005"/>
    <x v="2"/>
    <x v="2"/>
    <s v="25–35 Age"/>
    <n v="118445"/>
    <n v="9312"/>
    <n v="1796"/>
    <n v="862"/>
    <n v="394"/>
    <n v="53888.89"/>
    <n v="1248957.4099999999"/>
    <s v="Pan India"/>
    <n v="7.861876820465195"/>
    <n v="5.7870371563573881"/>
    <n v="19.286941580756015"/>
    <n v="136.77383248730965"/>
    <n v="23.176528779865386"/>
  </r>
  <r>
    <d v="2024-08-29T00:00:00"/>
    <s v="AD001"/>
    <x v="1"/>
    <x v="1"/>
    <s v="17–21 Age"/>
    <n v="176924"/>
    <n v="6002"/>
    <n v="1405"/>
    <n v="726"/>
    <n v="305"/>
    <n v="149271.1"/>
    <n v="1316066.43"/>
    <s v="Pan India"/>
    <n v="3.3924170830413063"/>
    <n v="24.870226591136287"/>
    <n v="23.408863712095968"/>
    <n v="489.41344262295081"/>
    <n v="8.816619091036376"/>
  </r>
  <r>
    <d v="2024-08-29T00:00:00"/>
    <s v="AD005"/>
    <x v="2"/>
    <x v="2"/>
    <s v="17–21 Age"/>
    <n v="141835"/>
    <n v="4781"/>
    <n v="815"/>
    <n v="412"/>
    <n v="201"/>
    <n v="71163.259999999995"/>
    <n v="1195976.69"/>
    <s v="East India"/>
    <n v="3.3708182042514192"/>
    <n v="14.88459736456808"/>
    <n v="17.046642961723489"/>
    <n v="354.04606965174128"/>
    <n v="16.806097556520037"/>
  </r>
  <r>
    <d v="2024-08-30T00:00:00"/>
    <s v="AD001"/>
    <x v="1"/>
    <x v="1"/>
    <s v="17–21 Age"/>
    <n v="89353"/>
    <n v="3461"/>
    <n v="777"/>
    <n v="423"/>
    <n v="218"/>
    <n v="68408.44"/>
    <n v="1404431.2"/>
    <s v="East India"/>
    <n v="3.8734010050026302"/>
    <n v="19.76551285755562"/>
    <n v="22.450158913608785"/>
    <n v="313.80018348623855"/>
    <n v="20.530086638432334"/>
  </r>
  <r>
    <d v="2024-08-30T00:00:00"/>
    <s v="AD005"/>
    <x v="2"/>
    <x v="2"/>
    <s v="25–35 Age"/>
    <n v="172603"/>
    <n v="13771"/>
    <n v="3131"/>
    <n v="1756"/>
    <n v="957"/>
    <n v="123949.96"/>
    <n v="7284646.5"/>
    <s v="West India"/>
    <n v="7.9784244769789643"/>
    <n v="9.0007958753903132"/>
    <n v="22.736184736039501"/>
    <n v="129.51928944618601"/>
    <n v="58.770866081763963"/>
  </r>
  <r>
    <d v="2024-08-31T00:00:00"/>
    <s v="AD001"/>
    <x v="1"/>
    <x v="1"/>
    <s v="17–21 Age"/>
    <n v="275170"/>
    <n v="8309"/>
    <n v="2008"/>
    <n v="1217"/>
    <n v="654"/>
    <n v="116652.11"/>
    <n v="2196952.4"/>
    <s v="North India"/>
    <n v="3.0195878911218519"/>
    <n v="14.039247803586473"/>
    <n v="24.166566373811531"/>
    <n v="178.36714067278288"/>
    <n v="18.83337043796293"/>
  </r>
  <r>
    <d v="2024-08-31T00:00:00"/>
    <s v="AD005"/>
    <x v="2"/>
    <x v="2"/>
    <s v="25–35 Age"/>
    <n v="188007"/>
    <n v="12565"/>
    <n v="2831"/>
    <n v="1364"/>
    <n v="556"/>
    <n v="100933.35"/>
    <n v="2063936.01"/>
    <s v="North India"/>
    <n v="6.6832617934438607"/>
    <n v="8.0328969359331488"/>
    <n v="22.530839633903703"/>
    <n v="181.53480215827338"/>
    <n v="20.448503988027742"/>
  </r>
  <r>
    <d v="2024-09-01T00:00:00"/>
    <s v="AD005"/>
    <x v="2"/>
    <x v="2"/>
    <s v="25–35 Age"/>
    <n v="277995"/>
    <n v="17323"/>
    <n v="3307"/>
    <n v="1962"/>
    <n v="807"/>
    <n v="119949.55"/>
    <n v="3907589.22"/>
    <s v="East India"/>
    <n v="6.2314070396949583"/>
    <n v="6.9242942908272243"/>
    <n v="19.09022686601628"/>
    <n v="148.63636926889714"/>
    <n v="32.576939388267817"/>
  </r>
  <r>
    <d v="2024-09-02T00:00:00"/>
    <s v="AD005"/>
    <x v="2"/>
    <x v="2"/>
    <s v="17–21 Age"/>
    <n v="204641"/>
    <n v="14981"/>
    <n v="3396"/>
    <n v="1681"/>
    <n v="682"/>
    <n v="155414.22"/>
    <n v="5373759.0999999996"/>
    <s v="Pan India"/>
    <n v="7.3206248992137457"/>
    <n v="10.374088512115346"/>
    <n v="22.668713704025098"/>
    <n v="227.88008797653958"/>
    <n v="34.577010391970568"/>
  </r>
  <r>
    <d v="2024-09-03T00:00:00"/>
    <s v="AD005"/>
    <x v="2"/>
    <x v="2"/>
    <s v="22–27 Age"/>
    <n v="80461"/>
    <n v="5310"/>
    <n v="1043"/>
    <n v="626"/>
    <n v="251"/>
    <n v="56362.02"/>
    <n v="988491.69"/>
    <s v="East India"/>
    <n v="6.5994705509501497"/>
    <n v="10.614316384180791"/>
    <n v="19.642184557438792"/>
    <n v="224.54988047808763"/>
    <n v="17.538258742323286"/>
  </r>
  <r>
    <d v="2024-09-04T00:00:00"/>
    <s v="AD005"/>
    <x v="2"/>
    <x v="2"/>
    <s v="17–21 Age"/>
    <n v="225116"/>
    <n v="11836"/>
    <n v="2871"/>
    <n v="1828"/>
    <n v="993"/>
    <n v="145813.18"/>
    <n v="7254951.4199999999"/>
    <s v="South India"/>
    <n v="5.2577337905790795"/>
    <n v="12.319464346062858"/>
    <n v="24.25650557620818"/>
    <n v="146.84106747230612"/>
    <n v="49.755114181036312"/>
  </r>
  <r>
    <d v="2024-09-05T00:00:00"/>
    <s v="AD005"/>
    <x v="2"/>
    <x v="2"/>
    <s v="17–21 Age"/>
    <n v="116737"/>
    <n v="9182"/>
    <n v="1836"/>
    <n v="1173"/>
    <n v="621"/>
    <n v="99175.679999999993"/>
    <n v="2537615.16"/>
    <s v="South India"/>
    <n v="7.8655439149541273"/>
    <n v="10.801097800043562"/>
    <n v="19.995643650620778"/>
    <n v="159.70318840579708"/>
    <n v="25.587070943198981"/>
  </r>
  <r>
    <d v="2024-09-06T00:00:00"/>
    <s v="AD005"/>
    <x v="2"/>
    <x v="2"/>
    <s v="22–27 Age"/>
    <n v="63297"/>
    <n v="4534"/>
    <n v="954"/>
    <n v="479"/>
    <n v="279"/>
    <n v="50866.84"/>
    <n v="2142106.16"/>
    <s v="Pan India"/>
    <n v="7.1630567009494923"/>
    <n v="11.218976621085133"/>
    <n v="21.041023378914865"/>
    <n v="182.31842293906809"/>
    <n v="42.112035266983369"/>
  </r>
  <r>
    <d v="2024-09-07T00:00:00"/>
    <s v="AD005"/>
    <x v="2"/>
    <x v="2"/>
    <s v="22–27 Age"/>
    <n v="58123"/>
    <n v="2245"/>
    <n v="487"/>
    <n v="238"/>
    <n v="102"/>
    <n v="48037.73"/>
    <n v="806657.5"/>
    <s v="West India"/>
    <n v="3.8624984945718559"/>
    <n v="21.397652561247217"/>
    <n v="21.692650334075726"/>
    <n v="470.958137254902"/>
    <n v="16.792165241779742"/>
  </r>
  <r>
    <d v="2024-09-08T00:00:00"/>
    <s v="AD005"/>
    <x v="2"/>
    <x v="2"/>
    <s v="17–21 Age"/>
    <n v="245747"/>
    <n v="19560"/>
    <n v="3600"/>
    <n v="2070"/>
    <n v="927"/>
    <n v="200843.09"/>
    <n v="3867146.21"/>
    <s v="West India"/>
    <n v="7.9594054047455316"/>
    <n v="10.268051635991819"/>
    <n v="18.404907975460123"/>
    <n v="216.65921251348436"/>
    <n v="19.254564396514713"/>
  </r>
  <r>
    <d v="2024-09-09T00:00:00"/>
    <s v="AD005"/>
    <x v="2"/>
    <x v="2"/>
    <s v="17–21 Age"/>
    <n v="84497"/>
    <n v="2556"/>
    <n v="527"/>
    <n v="306"/>
    <n v="147"/>
    <n v="40400.53"/>
    <n v="517443.61"/>
    <s v="East India"/>
    <n v="3.0249594660165453"/>
    <n v="15.80615414710485"/>
    <n v="20.618153364632239"/>
    <n v="274.83353741496597"/>
    <n v="12.807842124843411"/>
  </r>
  <r>
    <d v="2024-09-10T00:00:00"/>
    <s v="AD005"/>
    <x v="2"/>
    <x v="2"/>
    <s v="17–21 Age"/>
    <n v="241659"/>
    <n v="17679"/>
    <n v="2873"/>
    <n v="1586"/>
    <n v="722"/>
    <n v="135221.60999999999"/>
    <n v="4879841.2300000004"/>
    <s v="East India"/>
    <n v="7.3156803595148538"/>
    <n v="7.6487137281520443"/>
    <n v="16.25091916963629"/>
    <n v="187.28754847645428"/>
    <n v="36.087732057028468"/>
  </r>
  <r>
    <d v="2024-09-11T00:00:00"/>
    <s v="AD005"/>
    <x v="2"/>
    <x v="2"/>
    <s v="22–27 Age"/>
    <n v="65507"/>
    <n v="2625"/>
    <n v="419"/>
    <n v="269"/>
    <n v="116"/>
    <n v="58810.83"/>
    <n v="812926.32"/>
    <s v="West India"/>
    <n v="4.0072053368342315"/>
    <n v="22.404125714285716"/>
    <n v="15.961904761904764"/>
    <n v="506.98991379310348"/>
    <n v="13.822731629531498"/>
  </r>
  <r>
    <d v="2024-09-12T00:00:00"/>
    <s v="AD005"/>
    <x v="2"/>
    <x v="2"/>
    <s v="17–21 Age"/>
    <n v="89606"/>
    <n v="3064"/>
    <n v="523"/>
    <n v="302"/>
    <n v="174"/>
    <n v="82237.509999999995"/>
    <n v="1090015.6399999999"/>
    <s v="Pan India"/>
    <n v="3.4194138785349195"/>
    <n v="26.839918407310702"/>
    <n v="17.069190600522195"/>
    <n v="472.62936781609193"/>
    <n v="13.254482534794645"/>
  </r>
  <r>
    <d v="2024-09-13T00:00:00"/>
    <s v="AD005"/>
    <x v="2"/>
    <x v="2"/>
    <s v="25–35 Age"/>
    <n v="288944"/>
    <n v="22296"/>
    <n v="3936"/>
    <n v="2456"/>
    <n v="1336"/>
    <n v="268441.11"/>
    <n v="10200618.609999999"/>
    <s v="North India"/>
    <n v="7.7163741070934151"/>
    <n v="12.039877556512378"/>
    <n v="17.653390742734125"/>
    <n v="200.9289745508982"/>
    <n v="37.999465171336837"/>
  </r>
  <r>
    <d v="2024-09-14T00:00:00"/>
    <s v="AD005"/>
    <x v="2"/>
    <x v="2"/>
    <s v="25–35 Age"/>
    <n v="61065"/>
    <n v="3349"/>
    <n v="511"/>
    <n v="253"/>
    <n v="103"/>
    <n v="50674.5"/>
    <n v="618470.9"/>
    <s v="East India"/>
    <n v="5.4843199868992061"/>
    <n v="15.131233203941475"/>
    <n v="15.258286055538967"/>
    <n v="491.98543689320388"/>
    <n v="12.204775577460063"/>
  </r>
  <r>
    <d v="2024-09-15T00:00:00"/>
    <s v="AD005"/>
    <x v="2"/>
    <x v="2"/>
    <s v="17–21 Age"/>
    <n v="52998"/>
    <n v="2691"/>
    <n v="556"/>
    <n v="360"/>
    <n v="169"/>
    <n v="42374.05"/>
    <n v="1263776.46"/>
    <s v="South India"/>
    <n v="5.0775500962300466"/>
    <n v="15.746581196581198"/>
    <n v="20.661464139725009"/>
    <n v="250.73402366863908"/>
    <n v="29.824301901753547"/>
  </r>
  <r>
    <d v="2024-09-16T00:00:00"/>
    <s v="AD005"/>
    <x v="2"/>
    <x v="2"/>
    <s v="17–21 Age"/>
    <n v="188733"/>
    <n v="6063"/>
    <n v="1486"/>
    <n v="848"/>
    <n v="495"/>
    <n v="117044.6"/>
    <n v="1718164.73"/>
    <s v="West India"/>
    <n v="3.2124747659391844"/>
    <n v="19.304733630216067"/>
    <n v="24.509318819066468"/>
    <n v="236.4537373737374"/>
    <n v="14.679572829502598"/>
  </r>
  <r>
    <d v="2024-09-17T00:00:00"/>
    <s v="AD005"/>
    <x v="2"/>
    <x v="2"/>
    <s v="22–27 Age"/>
    <n v="264523"/>
    <n v="8422"/>
    <n v="1397"/>
    <n v="690"/>
    <n v="285"/>
    <n v="174372.08"/>
    <n v="2190322.56"/>
    <s v="North India"/>
    <n v="3.1838441269757261"/>
    <n v="20.704355260033246"/>
    <n v="16.587508905248161"/>
    <n v="611.83185964912275"/>
    <n v="12.561199935218989"/>
  </r>
  <r>
    <d v="2024-09-18T00:00:00"/>
    <s v="AD005"/>
    <x v="2"/>
    <x v="2"/>
    <s v="17–21 Age"/>
    <n v="99863"/>
    <n v="5899"/>
    <n v="1473"/>
    <n v="894"/>
    <n v="463"/>
    <n v="73758.95"/>
    <n v="1765141.51"/>
    <s v="East India"/>
    <n v="5.9070927170223202"/>
    <n v="12.503636209527038"/>
    <n v="24.970333954907613"/>
    <n v="159.30658747300217"/>
    <n v="23.9312179742255"/>
  </r>
  <r>
    <d v="2024-09-19T00:00:00"/>
    <s v="AD005"/>
    <x v="2"/>
    <x v="2"/>
    <s v="25–35 Age"/>
    <n v="76229"/>
    <n v="4994"/>
    <n v="1189"/>
    <n v="748"/>
    <n v="448"/>
    <n v="38131.31"/>
    <n v="2070391.74"/>
    <s v="North India"/>
    <n v="6.5513124926209185"/>
    <n v="7.6354245094112931"/>
    <n v="23.808570284341211"/>
    <n v="85.114531249999999"/>
    <n v="54.296370620364215"/>
  </r>
  <r>
    <d v="2024-09-20T00:00:00"/>
    <s v="AD005"/>
    <x v="2"/>
    <x v="2"/>
    <s v="17–21 Age"/>
    <n v="121757"/>
    <n v="6018"/>
    <n v="1136"/>
    <n v="664"/>
    <n v="374"/>
    <n v="107787.88"/>
    <n v="2220089.2400000002"/>
    <s v="South India"/>
    <n v="4.9426316351421269"/>
    <n v="17.910913924891993"/>
    <n v="18.876703223662346"/>
    <n v="288.20288770053475"/>
    <n v="20.5968355625883"/>
  </r>
  <r>
    <d v="2024-09-21T00:00:00"/>
    <s v="AD005"/>
    <x v="2"/>
    <x v="2"/>
    <s v="25–35 Age"/>
    <n v="114298"/>
    <n v="4785"/>
    <n v="1131"/>
    <n v="713"/>
    <n v="345"/>
    <n v="80918.92"/>
    <n v="2265577.65"/>
    <s v="North India"/>
    <n v="4.1864249593168736"/>
    <n v="16.910955067920586"/>
    <n v="23.636363636363637"/>
    <n v="234.54759420289855"/>
    <n v="27.998120217125983"/>
  </r>
  <r>
    <d v="2024-09-22T00:00:00"/>
    <s v="AD005"/>
    <x v="2"/>
    <x v="2"/>
    <s v="17–21 Age"/>
    <n v="105308"/>
    <n v="7365"/>
    <n v="1272"/>
    <n v="726"/>
    <n v="432"/>
    <n v="43967.23"/>
    <n v="2323390.4500000002"/>
    <s v="North India"/>
    <n v="6.9937706537015227"/>
    <n v="5.9697528852681607"/>
    <n v="17.270875763747455"/>
    <n v="101.77599537037038"/>
    <n v="52.843684944446125"/>
  </r>
  <r>
    <d v="2024-09-23T00:00:00"/>
    <s v="AD005"/>
    <x v="2"/>
    <x v="2"/>
    <s v="22–27 Age"/>
    <n v="136857"/>
    <n v="9505"/>
    <n v="1522"/>
    <n v="788"/>
    <n v="362"/>
    <n v="65108.72"/>
    <n v="1489069.41"/>
    <s v="South India"/>
    <n v="6.9452055795465348"/>
    <n v="6.8499442398737509"/>
    <n v="16.012624934245135"/>
    <n v="179.85834254143646"/>
    <n v="22.870506592665311"/>
  </r>
  <r>
    <d v="2024-09-24T00:00:00"/>
    <s v="AD005"/>
    <x v="2"/>
    <x v="2"/>
    <s v="17–21 Age"/>
    <n v="134230"/>
    <n v="8702"/>
    <n v="1365"/>
    <n v="650"/>
    <n v="332"/>
    <n v="124821.77"/>
    <n v="1474440.35"/>
    <s v="West India"/>
    <n v="6.4829024808165086"/>
    <n v="14.34403240634337"/>
    <n v="15.68604918409561"/>
    <n v="375.96918674698799"/>
    <n v="11.812365343000664"/>
  </r>
  <r>
    <d v="2024-09-25T00:00:00"/>
    <s v="AD005"/>
    <x v="2"/>
    <x v="2"/>
    <s v="22–27 Age"/>
    <n v="262940"/>
    <n v="21020"/>
    <n v="4963"/>
    <n v="2852"/>
    <n v="1664"/>
    <n v="200318.65"/>
    <n v="7439846.2800000003"/>
    <s v="North India"/>
    <n v="7.9942192135087851"/>
    <n v="9.529907231208373"/>
    <n v="23.610846812559465"/>
    <n v="120.38380408653846"/>
    <n v="37.140058002587381"/>
  </r>
  <r>
    <d v="2024-09-26T00:00:00"/>
    <s v="AD005"/>
    <x v="2"/>
    <x v="2"/>
    <s v="25–35 Age"/>
    <n v="273481"/>
    <n v="17743"/>
    <n v="3097"/>
    <n v="1835"/>
    <n v="1000"/>
    <n v="262907.98"/>
    <n v="7305475.8899999997"/>
    <s v="South India"/>
    <n v="6.4878364493328604"/>
    <n v="14.81756072817449"/>
    <n v="17.454770895564447"/>
    <n v="262.90798000000001"/>
    <n v="27.787197216303593"/>
  </r>
  <r>
    <d v="2024-09-27T00:00:00"/>
    <s v="AD005"/>
    <x v="2"/>
    <x v="2"/>
    <s v="17–21 Age"/>
    <n v="81135"/>
    <n v="4547"/>
    <n v="1123"/>
    <n v="543"/>
    <n v="325"/>
    <n v="72931.67"/>
    <n v="1570056.62"/>
    <s v="North India"/>
    <n v="5.6042398471682997"/>
    <n v="16.039513965251814"/>
    <n v="24.697602815042885"/>
    <n v="224.40513846153846"/>
    <n v="21.527775519194886"/>
  </r>
  <r>
    <d v="2024-09-28T00:00:00"/>
    <s v="AD005"/>
    <x v="2"/>
    <x v="2"/>
    <s v="22–27 Age"/>
    <n v="177065"/>
    <n v="8511"/>
    <n v="1962"/>
    <n v="1141"/>
    <n v="682"/>
    <n v="126930.36"/>
    <n v="4613730.38"/>
    <s v="West India"/>
    <n v="4.8067094005026405"/>
    <n v="14.913683468452591"/>
    <n v="23.052520267888614"/>
    <n v="186.11489736070382"/>
    <n v="36.348517249931376"/>
  </r>
  <r>
    <d v="2024-09-29T00:00:00"/>
    <s v="AD005"/>
    <x v="2"/>
    <x v="2"/>
    <s v="17–21 Age"/>
    <n v="120820"/>
    <n v="8446"/>
    <n v="1398"/>
    <n v="808"/>
    <n v="382"/>
    <n v="96604.45"/>
    <n v="1911053.53"/>
    <s v="South India"/>
    <n v="6.9905644760801184"/>
    <n v="11.437893677480464"/>
    <n v="16.552214065829979"/>
    <n v="252.89123036649215"/>
    <n v="19.782251542242619"/>
  </r>
  <r>
    <d v="2024-09-30T00:00:00"/>
    <s v="AD005"/>
    <x v="2"/>
    <x v="2"/>
    <s v="17–21 Age"/>
    <n v="108200"/>
    <n v="3265"/>
    <n v="588"/>
    <n v="270"/>
    <n v="146"/>
    <n v="90135.86"/>
    <n v="550296.55000000005"/>
    <s v="Pan India"/>
    <n v="3.0175600739371533"/>
    <n v="27.606695252679938"/>
    <n v="18.009188361408881"/>
    <n v="617.36890410958904"/>
    <n v="6.1051899876475364"/>
  </r>
  <r>
    <d v="2024-10-01T00:00:00"/>
    <s v="AD005"/>
    <x v="2"/>
    <x v="2"/>
    <s v="25–35 Age"/>
    <n v="181393"/>
    <n v="7776"/>
    <n v="1216"/>
    <n v="691"/>
    <n v="308"/>
    <n v="116710.52"/>
    <n v="955852.67"/>
    <s v="South India"/>
    <n v="4.2868247396536798"/>
    <n v="15.009068930041153"/>
    <n v="15.637860082304528"/>
    <n v="378.93025974025977"/>
    <n v="8.1899444026125501"/>
  </r>
  <r>
    <d v="2024-10-02T00:00:00"/>
    <s v="AD005"/>
    <x v="2"/>
    <x v="2"/>
    <s v="25–35 Age"/>
    <n v="188107"/>
    <n v="11836"/>
    <n v="2751"/>
    <n v="1255"/>
    <n v="668"/>
    <n v="83985.35"/>
    <n v="3644883.8"/>
    <s v="North India"/>
    <n v="6.2921635026873011"/>
    <n v="7.0957544778641441"/>
    <n v="23.242649543764784"/>
    <n v="125.72657185628744"/>
    <n v="43.399042809251846"/>
  </r>
  <r>
    <d v="2024-10-03T00:00:00"/>
    <s v="AD005"/>
    <x v="2"/>
    <x v="2"/>
    <s v="17–21 Age"/>
    <n v="136913"/>
    <n v="4144"/>
    <n v="997"/>
    <n v="508"/>
    <n v="257"/>
    <n v="88554.32"/>
    <n v="1706756.01"/>
    <s v="South India"/>
    <n v="3.0267396083644358"/>
    <n v="21.369285714285716"/>
    <n v="24.058880308880308"/>
    <n v="344.56933852140082"/>
    <n v="19.273548822914567"/>
  </r>
  <r>
    <d v="2024-10-04T00:00:00"/>
    <s v="AD005"/>
    <x v="2"/>
    <x v="2"/>
    <s v="25–35 Age"/>
    <n v="275383"/>
    <n v="21966"/>
    <n v="4741"/>
    <n v="2231"/>
    <n v="912"/>
    <n v="239728.52"/>
    <n v="3926372.14"/>
    <s v="Pan India"/>
    <n v="7.9765272366122826"/>
    <n v="10.913617408722571"/>
    <n v="21.583356095784396"/>
    <n v="262.86021929824562"/>
    <n v="16.378410628822973"/>
  </r>
  <r>
    <d v="2024-10-05T00:00:00"/>
    <s v="AD005"/>
    <x v="2"/>
    <x v="2"/>
    <s v="25–35 Age"/>
    <n v="287478"/>
    <n v="15296"/>
    <n v="2824"/>
    <n v="1485"/>
    <n v="658"/>
    <n v="273924.01"/>
    <n v="2298553.7799999998"/>
    <s v="North India"/>
    <n v="5.3207549795114755"/>
    <n v="17.908211950836822"/>
    <n v="18.46234309623431"/>
    <n v="416.29788753799392"/>
    <n v="8.3912095913023457"/>
  </r>
  <r>
    <d v="2024-10-06T00:00:00"/>
    <s v="AD005"/>
    <x v="2"/>
    <x v="2"/>
    <s v="25–35 Age"/>
    <n v="177706"/>
    <n v="6076"/>
    <n v="1461"/>
    <n v="913"/>
    <n v="494"/>
    <n v="142058.98000000001"/>
    <n v="1710667.68"/>
    <s v="Pan India"/>
    <n v="3.4191304739288491"/>
    <n v="23.380345622119819"/>
    <n v="24.045424621461489"/>
    <n v="287.56878542510123"/>
    <n v="12.041953841988727"/>
  </r>
  <r>
    <d v="2024-10-07T00:00:00"/>
    <s v="AD005"/>
    <x v="2"/>
    <x v="2"/>
    <s v="25–35 Age"/>
    <n v="295188"/>
    <n v="8972"/>
    <n v="1635"/>
    <n v="877"/>
    <n v="449"/>
    <n v="209783.61"/>
    <n v="3330514.34"/>
    <s v="East India"/>
    <n v="3.039418946569644"/>
    <n v="23.382034106107891"/>
    <n v="18.223361569326794"/>
    <n v="467.22407572383071"/>
    <n v="15.875951128879898"/>
  </r>
  <r>
    <d v="2024-10-08T00:00:00"/>
    <s v="AD005"/>
    <x v="2"/>
    <x v="2"/>
    <s v="25–35 Age"/>
    <n v="142451"/>
    <n v="6326"/>
    <n v="1430"/>
    <n v="782"/>
    <n v="396"/>
    <n v="65523.4"/>
    <n v="2443483.4700000002"/>
    <s v="North India"/>
    <n v="4.4408252662318972"/>
    <n v="10.357793234271261"/>
    <n v="22.605121719886185"/>
    <n v="165.46313131313133"/>
    <n v="37.291768589542059"/>
  </r>
  <r>
    <d v="2024-10-09T00:00:00"/>
    <s v="AD005"/>
    <x v="2"/>
    <x v="2"/>
    <s v="22–27 Age"/>
    <n v="54463"/>
    <n v="3186"/>
    <n v="540"/>
    <n v="317"/>
    <n v="161"/>
    <n v="38378.959999999999"/>
    <n v="865326.9"/>
    <s v="East India"/>
    <n v="5.8498430126875123"/>
    <n v="12.046126804770873"/>
    <n v="16.949152542372879"/>
    <n v="238.37863354037268"/>
    <n v="22.546908514456881"/>
  </r>
  <r>
    <d v="2024-10-10T00:00:00"/>
    <s v="AD005"/>
    <x v="2"/>
    <x v="2"/>
    <s v="25–35 Age"/>
    <n v="139686"/>
    <n v="5412"/>
    <n v="1042"/>
    <n v="509"/>
    <n v="290"/>
    <n v="75836.12"/>
    <n v="1654751.42"/>
    <s v="East India"/>
    <n v="3.8744040204458567"/>
    <n v="14.012586844050258"/>
    <n v="19.253510716925351"/>
    <n v="261.50386206896547"/>
    <n v="21.820096017570521"/>
  </r>
  <r>
    <d v="2024-10-11T00:00:00"/>
    <s v="AD005"/>
    <x v="2"/>
    <x v="2"/>
    <s v="25–35 Age"/>
    <n v="120409"/>
    <n v="4489"/>
    <n v="780"/>
    <n v="484"/>
    <n v="246"/>
    <n v="110563.17"/>
    <n v="1888857.04"/>
    <s v="East India"/>
    <n v="3.7281266350521971"/>
    <n v="24.62979950991312"/>
    <n v="17.375807529516596"/>
    <n v="449.44378048780487"/>
    <n v="17.083962408096657"/>
  </r>
  <r>
    <d v="2024-10-12T00:00:00"/>
    <s v="AD005"/>
    <x v="2"/>
    <x v="2"/>
    <s v="17–21 Age"/>
    <n v="216016"/>
    <n v="10639"/>
    <n v="1987"/>
    <n v="1050"/>
    <n v="475"/>
    <n v="139364"/>
    <n v="1826451.72"/>
    <s v="South India"/>
    <n v="4.9250981408784531"/>
    <n v="13.099351442804775"/>
    <n v="18.676567346555128"/>
    <n v="293.39789473684209"/>
    <n v="13.10562067678884"/>
  </r>
  <r>
    <d v="2024-10-13T00:00:00"/>
    <s v="AD005"/>
    <x v="2"/>
    <x v="2"/>
    <s v="17–21 Age"/>
    <n v="58912"/>
    <n v="4326"/>
    <n v="782"/>
    <n v="498"/>
    <n v="295"/>
    <n v="48216.62"/>
    <n v="1214180.74"/>
    <s v="South India"/>
    <n v="7.343155893536121"/>
    <n v="11.145774387424874"/>
    <n v="18.076745261211279"/>
    <n v="163.44616949152544"/>
    <n v="25.181788769100777"/>
  </r>
  <r>
    <d v="2024-10-14T00:00:00"/>
    <s v="AD005"/>
    <x v="2"/>
    <x v="2"/>
    <s v="22–27 Age"/>
    <n v="202717"/>
    <n v="6817"/>
    <n v="1069"/>
    <n v="693"/>
    <n v="358"/>
    <n v="116988.99"/>
    <n v="1522257.6"/>
    <s v="West India"/>
    <n v="3.3628161427014018"/>
    <n v="17.161359835704857"/>
    <n v="15.681384773360715"/>
    <n v="326.78488826815646"/>
    <n v="13.0119731779888"/>
  </r>
  <r>
    <d v="2024-10-15T00:00:00"/>
    <s v="AD005"/>
    <x v="2"/>
    <x v="2"/>
    <s v="22–27 Age"/>
    <n v="251656"/>
    <n v="18834"/>
    <n v="3343"/>
    <n v="1918"/>
    <n v="1080"/>
    <n v="241798.27"/>
    <n v="7037867.2699999996"/>
    <s v="South India"/>
    <n v="7.4840258130145916"/>
    <n v="12.838391738345544"/>
    <n v="17.749814165870234"/>
    <n v="223.88728703703703"/>
    <n v="29.106359073619508"/>
  </r>
  <r>
    <d v="2024-10-16T00:00:00"/>
    <s v="AD005"/>
    <x v="2"/>
    <x v="2"/>
    <s v="17–21 Age"/>
    <n v="199622"/>
    <n v="6041"/>
    <n v="993"/>
    <n v="525"/>
    <n v="228"/>
    <n v="176721.83"/>
    <n v="988512.45"/>
    <s v="South India"/>
    <n v="3.0262195549588724"/>
    <n v="29.253737791756329"/>
    <n v="16.437675881476576"/>
    <n v="775.09574561403508"/>
    <n v="5.5936069131923318"/>
  </r>
  <r>
    <d v="2024-10-17T00:00:00"/>
    <s v="AD005"/>
    <x v="2"/>
    <x v="2"/>
    <s v="25–35 Age"/>
    <n v="69381"/>
    <n v="3391"/>
    <n v="607"/>
    <n v="363"/>
    <n v="166"/>
    <n v="49757.02"/>
    <n v="578094.77"/>
    <s v="Pan India"/>
    <n v="4.8875052247733528"/>
    <n v="14.673258625774107"/>
    <n v="17.900324388086112"/>
    <n v="299.74108433734938"/>
    <n v="11.618355962636027"/>
  </r>
  <r>
    <d v="2024-10-18T00:00:00"/>
    <s v="AD005"/>
    <x v="2"/>
    <x v="2"/>
    <s v="17–21 Age"/>
    <n v="287101"/>
    <n v="12759"/>
    <n v="2552"/>
    <n v="1493"/>
    <n v="878"/>
    <n v="208157.08"/>
    <n v="4202662.82"/>
    <s v="North India"/>
    <n v="4.4440806545431748"/>
    <n v="16.314529351830078"/>
    <n v="20.001567520965594"/>
    <n v="237.08095671981775"/>
    <n v="20.189862482698164"/>
  </r>
  <r>
    <d v="2024-10-19T00:00:00"/>
    <s v="AD005"/>
    <x v="2"/>
    <x v="2"/>
    <s v="17–21 Age"/>
    <n v="184878"/>
    <n v="12850"/>
    <n v="2357"/>
    <n v="1514"/>
    <n v="788"/>
    <n v="119293.73"/>
    <n v="4620820.8099999996"/>
    <s v="East India"/>
    <n v="6.9505295383982952"/>
    <n v="9.2835587548638134"/>
    <n v="18.342412451361866"/>
    <n v="151.38798223350253"/>
    <n v="38.734817077142274"/>
  </r>
  <r>
    <d v="2024-10-20T00:00:00"/>
    <s v="AD005"/>
    <x v="2"/>
    <x v="2"/>
    <s v="22–27 Age"/>
    <n v="92994"/>
    <n v="4254"/>
    <n v="1025"/>
    <n v="663"/>
    <n v="325"/>
    <n v="63509.98"/>
    <n v="1979290.65"/>
    <s v="West India"/>
    <n v="4.5744886766888184"/>
    <n v="14.929473436765399"/>
    <n v="24.094969440526562"/>
    <n v="195.41532307692307"/>
    <n v="31.165033432540834"/>
  </r>
  <r>
    <d v="2024-10-21T00:00:00"/>
    <s v="AD005"/>
    <x v="2"/>
    <x v="2"/>
    <s v="25–35 Age"/>
    <n v="122794"/>
    <n v="7849"/>
    <n v="1907"/>
    <n v="1022"/>
    <n v="609"/>
    <n v="115044.95"/>
    <n v="2146534.46"/>
    <s v="East India"/>
    <n v="6.3920061240777235"/>
    <n v="14.657274812077972"/>
    <n v="24.296088673716397"/>
    <n v="188.90796387520524"/>
    <n v="18.658224111532057"/>
  </r>
  <r>
    <d v="2024-10-22T00:00:00"/>
    <s v="AD005"/>
    <x v="2"/>
    <x v="2"/>
    <s v="17–21 Age"/>
    <n v="91570"/>
    <n v="6739"/>
    <n v="1285"/>
    <n v="721"/>
    <n v="353"/>
    <n v="79415.47"/>
    <n v="2003387.48"/>
    <s v="West India"/>
    <n v="7.3593971824833462"/>
    <n v="11.784459118563586"/>
    <n v="19.068110995696692"/>
    <n v="224.9730028328612"/>
    <n v="25.226665283225042"/>
  </r>
  <r>
    <d v="2024-10-23T00:00:00"/>
    <s v="AD005"/>
    <x v="2"/>
    <x v="2"/>
    <s v="25–35 Age"/>
    <n v="136044"/>
    <n v="5700"/>
    <n v="1277"/>
    <n v="576"/>
    <n v="315"/>
    <n v="81289.850000000006"/>
    <n v="1260959.52"/>
    <s v="West India"/>
    <n v="4.1898209402840259"/>
    <n v="14.261377192982458"/>
    <n v="22.403508771929825"/>
    <n v="258.0630158730159"/>
    <n v="15.511893797319098"/>
  </r>
  <r>
    <d v="2024-10-24T00:00:00"/>
    <s v="AD005"/>
    <x v="2"/>
    <x v="2"/>
    <s v="22–27 Age"/>
    <n v="167984"/>
    <n v="5400"/>
    <n v="1206"/>
    <n v="563"/>
    <n v="278"/>
    <n v="99048.93"/>
    <n v="1366324.42"/>
    <s v="East India"/>
    <n v="3.2145918658919901"/>
    <n v="18.342394444444444"/>
    <n v="22.333333333333332"/>
    <n v="356.29111510791364"/>
    <n v="13.794438970718815"/>
  </r>
  <r>
    <d v="2024-10-25T00:00:00"/>
    <s v="AD005"/>
    <x v="2"/>
    <x v="2"/>
    <s v="22–27 Age"/>
    <n v="95036"/>
    <n v="5272"/>
    <n v="948"/>
    <n v="435"/>
    <n v="238"/>
    <n v="52509.599999999999"/>
    <n v="1552232.36"/>
    <s v="North India"/>
    <n v="5.5473715223704705"/>
    <n v="9.9600910470409705"/>
    <n v="17.981790591805765"/>
    <n v="220.62857142857143"/>
    <n v="29.560925240337006"/>
  </r>
  <r>
    <d v="2024-10-26T00:00:00"/>
    <s v="AD005"/>
    <x v="2"/>
    <x v="2"/>
    <s v="25–35 Age"/>
    <n v="59294"/>
    <n v="3218"/>
    <n v="771"/>
    <n v="376"/>
    <n v="216"/>
    <n v="51407.62"/>
    <n v="827192.52"/>
    <s v="West India"/>
    <n v="5.42719330792323"/>
    <n v="15.975021752641393"/>
    <n v="23.958980733374766"/>
    <n v="237.99824074074075"/>
    <n v="16.090854235228161"/>
  </r>
  <r>
    <d v="2024-10-27T00:00:00"/>
    <s v="AD005"/>
    <x v="2"/>
    <x v="2"/>
    <s v="22–27 Age"/>
    <n v="130677"/>
    <n v="9462"/>
    <n v="1831"/>
    <n v="969"/>
    <n v="562"/>
    <n v="89431.65"/>
    <n v="2487761.4"/>
    <s v="North India"/>
    <n v="7.240753919970615"/>
    <n v="9.4516645529486354"/>
    <n v="19.351088564785456"/>
    <n v="159.13104982206406"/>
    <n v="27.817460597003411"/>
  </r>
  <r>
    <d v="2024-10-28T00:00:00"/>
    <s v="AD005"/>
    <x v="2"/>
    <x v="2"/>
    <s v="22–27 Age"/>
    <n v="97058"/>
    <n v="3274"/>
    <n v="651"/>
    <n v="375"/>
    <n v="190"/>
    <n v="45063.28"/>
    <n v="895881.61"/>
    <s v="Pan India"/>
    <n v="3.3732407426487256"/>
    <n v="13.763982895540623"/>
    <n v="19.883934025656689"/>
    <n v="237.17515789473683"/>
    <n v="19.880523787882286"/>
  </r>
  <r>
    <d v="2024-10-29T00:00:00"/>
    <s v="AD005"/>
    <x v="2"/>
    <x v="2"/>
    <s v="17–21 Age"/>
    <n v="179478"/>
    <n v="6773"/>
    <n v="1044"/>
    <n v="667"/>
    <n v="270"/>
    <n v="91661.15"/>
    <n v="2080724.29"/>
    <s v="North India"/>
    <n v="3.7737215703317393"/>
    <n v="13.533316108076184"/>
    <n v="15.414144396869926"/>
    <n v="339.48574074074071"/>
    <n v="22.700176574262926"/>
  </r>
  <r>
    <d v="2024-10-30T00:00:00"/>
    <s v="AD005"/>
    <x v="2"/>
    <x v="2"/>
    <s v="25–35 Age"/>
    <n v="281673"/>
    <n v="15379"/>
    <n v="3271"/>
    <n v="1753"/>
    <n v="1035"/>
    <n v="204309.98"/>
    <n v="3459761.8"/>
    <s v="South India"/>
    <n v="5.4598772335296601"/>
    <n v="13.284997724169322"/>
    <n v="21.269263281097601"/>
    <n v="197.4009468599034"/>
    <n v="16.933885461689144"/>
  </r>
  <r>
    <d v="2024-10-31T00:00:00"/>
    <s v="AD005"/>
    <x v="2"/>
    <x v="2"/>
    <s v="25–35 Age"/>
    <n v="116450"/>
    <n v="6235"/>
    <n v="1558"/>
    <n v="824"/>
    <n v="360"/>
    <n v="65629.02"/>
    <n v="1949668.5"/>
    <s v="South India"/>
    <n v="5.3542292829540576"/>
    <n v="10.525905372894949"/>
    <n v="24.987971130713714"/>
    <n v="182.30283333333335"/>
    <n v="29.707414494380686"/>
  </r>
  <r>
    <d v="2024-11-01T00:00:00"/>
    <s v="AD005"/>
    <x v="2"/>
    <x v="2"/>
    <s v="17–21 Age"/>
    <n v="225961"/>
    <n v="14171"/>
    <n v="3221"/>
    <n v="1819"/>
    <n v="993"/>
    <n v="168277.96"/>
    <n v="3222207.73"/>
    <s v="North India"/>
    <n v="6.2714362212948256"/>
    <n v="11.874811939877214"/>
    <n v="22.729518029779129"/>
    <n v="169.46420946626384"/>
    <n v="19.148126884827938"/>
  </r>
  <r>
    <d v="2024-11-02T00:00:00"/>
    <s v="AD005"/>
    <x v="2"/>
    <x v="2"/>
    <s v="25–35 Age"/>
    <n v="106756"/>
    <n v="7681"/>
    <n v="1748"/>
    <n v="926"/>
    <n v="405"/>
    <n v="72448.350000000006"/>
    <n v="1950812.15"/>
    <s v="Pan India"/>
    <n v="7.1949117613998279"/>
    <n v="9.4321507616195817"/>
    <n v="22.757453456581175"/>
    <n v="178.88481481481483"/>
    <n v="26.926936914367268"/>
  </r>
  <r>
    <d v="2024-11-03T00:00:00"/>
    <s v="AD005"/>
    <x v="2"/>
    <x v="2"/>
    <s v="17–21 Age"/>
    <n v="232832"/>
    <n v="9147"/>
    <n v="1633"/>
    <n v="749"/>
    <n v="397"/>
    <n v="193724.4"/>
    <n v="3007990.84"/>
    <s v="South India"/>
    <n v="3.9285836998350741"/>
    <n v="21.179009511315186"/>
    <n v="17.852847928282497"/>
    <n v="487.97078085642318"/>
    <n v="15.527165602267964"/>
  </r>
  <r>
    <d v="2024-11-04T00:00:00"/>
    <s v="AD005"/>
    <x v="2"/>
    <x v="2"/>
    <s v="22–27 Age"/>
    <n v="283483"/>
    <n v="9399"/>
    <n v="2257"/>
    <n v="1289"/>
    <n v="646"/>
    <n v="152209.39000000001"/>
    <n v="2606457.79"/>
    <s v="Pan India"/>
    <n v="3.3155427309574117"/>
    <n v="16.194211086285776"/>
    <n v="24.013192892860943"/>
    <n v="235.61825077399382"/>
    <n v="17.124158962860307"/>
  </r>
  <r>
    <d v="2024-11-05T00:00:00"/>
    <s v="AD005"/>
    <x v="2"/>
    <x v="2"/>
    <s v="25–35 Age"/>
    <n v="239123"/>
    <n v="8684"/>
    <n v="1946"/>
    <n v="1221"/>
    <n v="722"/>
    <n v="204001.7"/>
    <n v="2714132.08"/>
    <s v="North India"/>
    <n v="3.6316038189550981"/>
    <n v="23.491674343620453"/>
    <n v="22.40902809765085"/>
    <n v="282.55083102493074"/>
    <n v="13.304458149123267"/>
  </r>
  <r>
    <d v="2024-11-06T00:00:00"/>
    <s v="AD005"/>
    <x v="2"/>
    <x v="2"/>
    <s v="25–35 Age"/>
    <n v="276380"/>
    <n v="16064"/>
    <n v="2534"/>
    <n v="1232"/>
    <n v="551"/>
    <n v="170390.62"/>
    <n v="3092023.95"/>
    <s v="East India"/>
    <n v="5.8122874303495182"/>
    <n v="10.606985806772908"/>
    <n v="15.774402390438247"/>
    <n v="309.23887477313974"/>
    <n v="18.146679377068999"/>
  </r>
  <r>
    <d v="2024-11-07T00:00:00"/>
    <s v="AD005"/>
    <x v="2"/>
    <x v="2"/>
    <s v="17–21 Age"/>
    <n v="270180"/>
    <n v="14454"/>
    <n v="3258"/>
    <n v="1917"/>
    <n v="990"/>
    <n v="268873.26"/>
    <n v="6443869.4199999999"/>
    <s v="West India"/>
    <n v="5.3497668221185872"/>
    <n v="18.601996679119967"/>
    <n v="22.540473225404732"/>
    <n v="271.58915151515151"/>
    <n v="23.966196638520319"/>
  </r>
  <r>
    <d v="2024-11-08T00:00:00"/>
    <s v="AD005"/>
    <x v="2"/>
    <x v="2"/>
    <s v="17–21 Age"/>
    <n v="286662"/>
    <n v="11043"/>
    <n v="1712"/>
    <n v="779"/>
    <n v="318"/>
    <n v="131184.54999999999"/>
    <n v="1392508.14"/>
    <s v="East India"/>
    <n v="3.852272013730456"/>
    <n v="11.879430408403513"/>
    <n v="15.50303359594313"/>
    <n v="412.53003144654082"/>
    <n v="10.614879114956754"/>
  </r>
  <r>
    <d v="2024-11-09T00:00:00"/>
    <s v="AD005"/>
    <x v="2"/>
    <x v="2"/>
    <s v="22–27 Age"/>
    <n v="181568"/>
    <n v="10036"/>
    <n v="2164"/>
    <n v="1043"/>
    <n v="557"/>
    <n v="105288.6"/>
    <n v="2943846.76"/>
    <s v="Pan India"/>
    <n v="5.5274057102573142"/>
    <n v="10.491092068553209"/>
    <n v="21.562375448385811"/>
    <n v="189.02800718132855"/>
    <n v="27.959786339641706"/>
  </r>
  <r>
    <d v="2024-11-10T00:00:00"/>
    <s v="AD005"/>
    <x v="2"/>
    <x v="2"/>
    <s v="17–21 Age"/>
    <n v="55161"/>
    <n v="1674"/>
    <n v="327"/>
    <n v="182"/>
    <n v="93"/>
    <n v="27683.46"/>
    <n v="419254.85"/>
    <s v="North India"/>
    <n v="3.0347528144884972"/>
    <n v="16.537311827956987"/>
    <n v="19.534050179211469"/>
    <n v="297.67161290322582"/>
    <n v="15.144597171018363"/>
  </r>
  <r>
    <d v="2024-11-11T00:00:00"/>
    <s v="AD005"/>
    <x v="2"/>
    <x v="2"/>
    <s v="25–35 Age"/>
    <n v="146332"/>
    <n v="7956"/>
    <n v="1417"/>
    <n v="687"/>
    <n v="389"/>
    <n v="145598.6"/>
    <n v="1883807.49"/>
    <s v="East India"/>
    <n v="5.4369515895361236"/>
    <n v="18.300477626948215"/>
    <n v="17.81045751633987"/>
    <n v="374.28946015424168"/>
    <n v="12.938362662827801"/>
  </r>
  <r>
    <d v="2024-11-12T00:00:00"/>
    <s v="AD005"/>
    <x v="2"/>
    <x v="2"/>
    <s v="17–21 Age"/>
    <n v="283452"/>
    <n v="10161"/>
    <n v="2461"/>
    <n v="1357"/>
    <n v="599"/>
    <n v="241562.23999999999"/>
    <n v="2333253.91"/>
    <s v="East India"/>
    <n v="3.5847339232039288"/>
    <n v="23.77347111504773"/>
    <n v="24.220057080995964"/>
    <n v="403.27585976627711"/>
    <n v="9.6590175269114926"/>
  </r>
  <r>
    <d v="2024-11-13T00:00:00"/>
    <s v="AD005"/>
    <x v="2"/>
    <x v="2"/>
    <s v="17–21 Age"/>
    <n v="266279"/>
    <n v="21175"/>
    <n v="3231"/>
    <n v="1568"/>
    <n v="646"/>
    <n v="219965.47"/>
    <n v="2905813.4"/>
    <s v="East India"/>
    <n v="7.9521854896555872"/>
    <n v="10.387979693034239"/>
    <n v="15.258559622195985"/>
    <n v="340.50382352941176"/>
    <n v="13.210316146438801"/>
  </r>
  <r>
    <d v="2024-11-14T00:00:00"/>
    <s v="AD005"/>
    <x v="2"/>
    <x v="2"/>
    <s v="25–35 Age"/>
    <n v="126096"/>
    <n v="4710"/>
    <n v="786"/>
    <n v="422"/>
    <n v="172"/>
    <n v="75860.320000000007"/>
    <n v="757098.6"/>
    <s v="Pan India"/>
    <n v="3.735249333840883"/>
    <n v="16.106225053078557"/>
    <n v="16.687898089171973"/>
    <n v="441.04837209302332"/>
    <n v="9.9801661791039091"/>
  </r>
  <r>
    <d v="2024-11-15T00:00:00"/>
    <s v="AD005"/>
    <x v="2"/>
    <x v="2"/>
    <s v="22–27 Age"/>
    <n v="72191"/>
    <n v="4406"/>
    <n v="911"/>
    <n v="578"/>
    <n v="345"/>
    <n v="56628.01"/>
    <n v="1560935.41"/>
    <s v="West India"/>
    <n v="6.1032538682107189"/>
    <n v="12.852476168860646"/>
    <n v="20.676350431230141"/>
    <n v="164.13915942028987"/>
    <n v="27.564723005452599"/>
  </r>
  <r>
    <d v="2024-11-16T00:00:00"/>
    <s v="AD005"/>
    <x v="2"/>
    <x v="2"/>
    <s v="25–35 Age"/>
    <n v="102772"/>
    <n v="7546"/>
    <n v="1445"/>
    <n v="670"/>
    <n v="401"/>
    <n v="91991.98"/>
    <n v="2282140.1"/>
    <s v="Pan India"/>
    <n v="7.3424668197563534"/>
    <n v="12.190826928173866"/>
    <n v="19.149218128809967"/>
    <n v="229.40643391521195"/>
    <n v="24.808033265508584"/>
  </r>
  <r>
    <d v="2024-11-17T00:00:00"/>
    <s v="AD005"/>
    <x v="2"/>
    <x v="2"/>
    <s v="22–27 Age"/>
    <n v="110873"/>
    <n v="5990"/>
    <n v="1401"/>
    <n v="803"/>
    <n v="465"/>
    <n v="86112.93"/>
    <n v="2382488.17"/>
    <s v="Pan India"/>
    <n v="5.4025777240626658"/>
    <n v="14.376115191986644"/>
    <n v="23.388981636060098"/>
    <n v="185.18909677419353"/>
    <n v="27.667020155974257"/>
  </r>
  <r>
    <d v="2024-11-18T00:00:00"/>
    <s v="AD005"/>
    <x v="2"/>
    <x v="2"/>
    <s v="17–21 Age"/>
    <n v="204362"/>
    <n v="14066"/>
    <n v="3141"/>
    <n v="1562"/>
    <n v="659"/>
    <n v="184747.29"/>
    <n v="3568654"/>
    <s v="South India"/>
    <n v="6.8828842935575105"/>
    <n v="13.134316081330869"/>
    <n v="22.330442201052183"/>
    <n v="280.34490136570565"/>
    <n v="19.316407834723854"/>
  </r>
  <r>
    <d v="2024-11-19T00:00:00"/>
    <s v="AD005"/>
    <x v="2"/>
    <x v="2"/>
    <s v="17–21 Age"/>
    <n v="180572"/>
    <n v="12720"/>
    <n v="2814"/>
    <n v="1384"/>
    <n v="578"/>
    <n v="137201.60999999999"/>
    <n v="3495163.5"/>
    <s v="West India"/>
    <n v="7.0442815054382741"/>
    <n v="10.786290094339622"/>
    <n v="22.122641509433961"/>
    <n v="237.37302768166089"/>
    <n v="25.474653686644057"/>
  </r>
  <r>
    <d v="2024-11-20T00:00:00"/>
    <s v="AD005"/>
    <x v="2"/>
    <x v="2"/>
    <s v="25–35 Age"/>
    <n v="193929"/>
    <n v="13873"/>
    <n v="3062"/>
    <n v="1471"/>
    <n v="874"/>
    <n v="161155.16"/>
    <n v="6776185.6900000004"/>
    <s v="West India"/>
    <n v="7.1536490158769448"/>
    <n v="11.616460751099257"/>
    <n v="22.071649967562891"/>
    <n v="184.38805491990848"/>
    <n v="42.047587492699584"/>
  </r>
  <r>
    <d v="2024-11-21T00:00:00"/>
    <s v="AD005"/>
    <x v="2"/>
    <x v="2"/>
    <s v="25–35 Age"/>
    <n v="82283"/>
    <n v="2921"/>
    <n v="481"/>
    <n v="235"/>
    <n v="130"/>
    <n v="76726.47"/>
    <n v="415137.55"/>
    <s v="North India"/>
    <n v="3.5499434877192129"/>
    <n v="26.26719274221157"/>
    <n v="16.466963368709344"/>
    <n v="590.20361538461543"/>
    <n v="5.4106170921195771"/>
  </r>
  <r>
    <d v="2024-11-22T00:00:00"/>
    <s v="AD005"/>
    <x v="2"/>
    <x v="2"/>
    <s v="25–35 Age"/>
    <n v="192091"/>
    <n v="11604"/>
    <n v="2347"/>
    <n v="1104"/>
    <n v="643"/>
    <n v="125058.01"/>
    <n v="4406790.3499999996"/>
    <s v="West India"/>
    <n v="6.0408868713266113"/>
    <n v="10.777146673560841"/>
    <n v="20.225784212340571"/>
    <n v="194.49146189735615"/>
    <n v="35.237969563085159"/>
  </r>
  <r>
    <d v="2024-11-23T00:00:00"/>
    <s v="AD005"/>
    <x v="2"/>
    <x v="2"/>
    <s v="25–35 Age"/>
    <n v="65161"/>
    <n v="2390"/>
    <n v="561"/>
    <n v="334"/>
    <n v="173"/>
    <n v="46009.7"/>
    <n v="825433.67"/>
    <s v="South India"/>
    <n v="3.6678381240312454"/>
    <n v="19.25092050209205"/>
    <n v="23.472803347280337"/>
    <n v="265.95202312138724"/>
    <n v="17.940427127323154"/>
  </r>
  <r>
    <d v="2024-11-24T00:00:00"/>
    <s v="AD005"/>
    <x v="2"/>
    <x v="2"/>
    <s v="22–27 Age"/>
    <n v="273486"/>
    <n v="9563"/>
    <n v="1760"/>
    <n v="876"/>
    <n v="515"/>
    <n v="230126.27"/>
    <n v="3733798.06"/>
    <s v="Pan India"/>
    <n v="3.4967054986361275"/>
    <n v="24.06423402697898"/>
    <n v="18.40426644358465"/>
    <n v="446.84712621359222"/>
    <n v="16.224997085295826"/>
  </r>
  <r>
    <d v="2024-11-25T00:00:00"/>
    <s v="AD005"/>
    <x v="2"/>
    <x v="2"/>
    <s v="22–27 Age"/>
    <n v="69058"/>
    <n v="3605"/>
    <n v="672"/>
    <n v="383"/>
    <n v="211"/>
    <n v="46789.73"/>
    <n v="1676078.02"/>
    <s v="South India"/>
    <n v="5.2202496452257527"/>
    <n v="12.979120665742025"/>
    <n v="18.640776699029125"/>
    <n v="221.7522748815166"/>
    <n v="35.821493733774481"/>
  </r>
  <r>
    <d v="2024-11-26T00:00:00"/>
    <s v="AD005"/>
    <x v="2"/>
    <x v="2"/>
    <s v="22–27 Age"/>
    <n v="91853"/>
    <n v="6881"/>
    <n v="1240"/>
    <n v="672"/>
    <n v="277"/>
    <n v="44008.160000000003"/>
    <n v="1877093.83"/>
    <s v="North India"/>
    <n v="7.4913176488519699"/>
    <n v="6.3956052899287901"/>
    <n v="18.0206365353873"/>
    <n v="158.87422382671483"/>
    <n v="42.653313158287006"/>
  </r>
  <r>
    <d v="2024-11-27T00:00:00"/>
    <s v="AD005"/>
    <x v="2"/>
    <x v="2"/>
    <s v="17–21 Age"/>
    <n v="90600"/>
    <n v="5028"/>
    <n v="1186"/>
    <n v="602"/>
    <n v="308"/>
    <n v="73545.38"/>
    <n v="1650695.41"/>
    <s v="East India"/>
    <n v="5.5496688741721849"/>
    <n v="14.627163882259348"/>
    <n v="23.587907716785999"/>
    <n v="238.78370129870132"/>
    <n v="22.44458333072723"/>
  </r>
  <r>
    <d v="2024-11-28T00:00:00"/>
    <s v="AD005"/>
    <x v="2"/>
    <x v="2"/>
    <s v="22–27 Age"/>
    <n v="175761"/>
    <n v="5318"/>
    <n v="1233"/>
    <n v="657"/>
    <n v="374"/>
    <n v="116485.8"/>
    <n v="2032416.22"/>
    <s v="South India"/>
    <n v="3.0256996717132925"/>
    <n v="21.904061677322304"/>
    <n v="23.185408048138399"/>
    <n v="311.45935828877003"/>
    <n v="17.447759469394551"/>
  </r>
  <r>
    <d v="2024-11-29T00:00:00"/>
    <s v="AD005"/>
    <x v="2"/>
    <x v="2"/>
    <s v="22–27 Age"/>
    <n v="255808"/>
    <n v="20215"/>
    <n v="4403"/>
    <n v="2084"/>
    <n v="1238"/>
    <n v="219725.73"/>
    <n v="5687975.9299999997"/>
    <s v="West India"/>
    <n v="7.9024111833875406"/>
    <n v="10.869440019787287"/>
    <n v="21.780855800148405"/>
    <n v="177.48443457189015"/>
    <n v="25.886708534316849"/>
  </r>
  <r>
    <d v="2024-11-30T00:00:00"/>
    <s v="AD005"/>
    <x v="2"/>
    <x v="2"/>
    <s v="22–27 Age"/>
    <n v="80454"/>
    <n v="5850"/>
    <n v="1090"/>
    <n v="544"/>
    <n v="298"/>
    <n v="70151.88"/>
    <n v="1542618.67"/>
    <s v="Pan India"/>
    <n v="7.2712357371914376"/>
    <n v="11.991774358974359"/>
    <n v="18.632478632478634"/>
    <n v="235.40899328859061"/>
    <n v="21.98969820908577"/>
  </r>
  <r>
    <d v="2024-12-01T00:00:00"/>
    <s v="AD005"/>
    <x v="2"/>
    <x v="2"/>
    <s v="17–21 Age"/>
    <n v="197437"/>
    <n v="15661"/>
    <n v="3170"/>
    <n v="2036"/>
    <n v="967"/>
    <n v="126999.65"/>
    <n v="3380862.13"/>
    <s v="East India"/>
    <n v="7.9321505087698867"/>
    <n v="8.1092937871144883"/>
    <n v="20.241363897579976"/>
    <n v="131.33366080661841"/>
    <n v="26.621035018600445"/>
  </r>
  <r>
    <d v="2024-12-02T00:00:00"/>
    <s v="AD005"/>
    <x v="2"/>
    <x v="2"/>
    <s v="25–35 Age"/>
    <n v="89542"/>
    <n v="6519"/>
    <n v="1086"/>
    <n v="697"/>
    <n v="285"/>
    <n v="60866.25"/>
    <n v="1813988.18"/>
    <s v="East India"/>
    <n v="7.2803823903866345"/>
    <n v="9.3367464335020713"/>
    <n v="16.65899677864703"/>
    <n v="213.56578947368422"/>
    <n v="29.802857577064465"/>
  </r>
  <r>
    <d v="2024-12-03T00:00:00"/>
    <s v="AD005"/>
    <x v="2"/>
    <x v="2"/>
    <s v="17–21 Age"/>
    <n v="264827"/>
    <n v="17541"/>
    <n v="3210"/>
    <n v="1832"/>
    <n v="918"/>
    <n v="239779.4"/>
    <n v="4492737.47"/>
    <s v="North India"/>
    <n v="6.6235693490467362"/>
    <n v="13.669653953594436"/>
    <n v="18.299982897212246"/>
    <n v="261.19760348583878"/>
    <n v="18.736961849099629"/>
  </r>
  <r>
    <d v="2024-12-04T00:00:00"/>
    <s v="AD005"/>
    <x v="2"/>
    <x v="2"/>
    <s v="25–35 Age"/>
    <n v="246484"/>
    <n v="15426"/>
    <n v="3748"/>
    <n v="2056"/>
    <n v="1100"/>
    <n v="197907.72"/>
    <n v="3733897.51"/>
    <s v="North India"/>
    <n v="6.2584183963259283"/>
    <n v="12.829490470633994"/>
    <n v="24.296642032931416"/>
    <n v="179.91610909090909"/>
    <n v="18.86686133315062"/>
  </r>
  <r>
    <d v="2024-12-05T00:00:00"/>
    <s v="AD005"/>
    <x v="2"/>
    <x v="2"/>
    <s v="22–27 Age"/>
    <n v="166847"/>
    <n v="6747"/>
    <n v="1403"/>
    <n v="818"/>
    <n v="471"/>
    <n v="125046.51"/>
    <n v="1803264.94"/>
    <s v="Pan India"/>
    <n v="4.0438245818024896"/>
    <n v="18.53364606491774"/>
    <n v="20.794427152808655"/>
    <n v="265.49152866242036"/>
    <n v="14.420753845909015"/>
  </r>
  <r>
    <d v="2024-12-06T00:00:00"/>
    <s v="AD005"/>
    <x v="2"/>
    <x v="2"/>
    <s v="17–21 Age"/>
    <n v="159764"/>
    <n v="8942"/>
    <n v="1411"/>
    <n v="644"/>
    <n v="294"/>
    <n v="90588.72"/>
    <n v="1354157.21"/>
    <s v="Pan India"/>
    <n v="5.5970055832352719"/>
    <n v="10.130700067099083"/>
    <n v="15.779467680608365"/>
    <n v="308.12489795918367"/>
    <n v="14.948408698124886"/>
  </r>
  <r>
    <d v="2024-12-07T00:00:00"/>
    <s v="AD005"/>
    <x v="2"/>
    <x v="2"/>
    <s v="22–27 Age"/>
    <n v="102163"/>
    <n v="5048"/>
    <n v="1064"/>
    <n v="661"/>
    <n v="327"/>
    <n v="60848.34"/>
    <n v="2575367.84"/>
    <s v="West India"/>
    <n v="4.9411234987226296"/>
    <n v="12.053950079239302"/>
    <n v="21.077654516640255"/>
    <n v="186.08055045871558"/>
    <n v="42.324373023158891"/>
  </r>
  <r>
    <d v="2024-12-08T00:00:00"/>
    <s v="AD005"/>
    <x v="2"/>
    <x v="2"/>
    <s v="25–35 Age"/>
    <n v="126853"/>
    <n v="7221"/>
    <n v="1286"/>
    <n v="797"/>
    <n v="398"/>
    <n v="50966.79"/>
    <n v="2508469.86"/>
    <s v="West India"/>
    <n v="5.6924156306906424"/>
    <n v="7.0581346073950977"/>
    <n v="17.809167705303974"/>
    <n v="128.05726130653267"/>
    <n v="49.217732959050387"/>
  </r>
  <r>
    <d v="2024-12-09T00:00:00"/>
    <s v="AD005"/>
    <x v="2"/>
    <x v="2"/>
    <s v="25–35 Age"/>
    <n v="220003"/>
    <n v="12964"/>
    <n v="2716"/>
    <n v="1272"/>
    <n v="714"/>
    <n v="149924.94"/>
    <n v="5270433.16"/>
    <s v="East India"/>
    <n v="5.8926469184511117"/>
    <n v="11.564713051527306"/>
    <n v="20.950323974082075"/>
    <n v="209.97890756302522"/>
    <n v="35.153812034208585"/>
  </r>
  <r>
    <d v="2024-12-10T00:00:00"/>
    <s v="AD005"/>
    <x v="2"/>
    <x v="2"/>
    <s v="22–27 Age"/>
    <n v="201824"/>
    <n v="7307"/>
    <n v="1450"/>
    <n v="689"/>
    <n v="362"/>
    <n v="150905.54999999999"/>
    <n v="1905071.16"/>
    <s v="Pan India"/>
    <n v="3.6204812113524656"/>
    <n v="20.652189681127684"/>
    <n v="19.843985219652389"/>
    <n v="416.86616022099446"/>
    <n v="12.624261731924372"/>
  </r>
  <r>
    <d v="2024-12-11T00:00:00"/>
    <s v="AD005"/>
    <x v="2"/>
    <x v="2"/>
    <s v="17–21 Age"/>
    <n v="250260"/>
    <n v="19853"/>
    <n v="3492"/>
    <n v="1798"/>
    <n v="784"/>
    <n v="135506.91"/>
    <n v="2906425.19"/>
    <s v="West India"/>
    <n v="7.9329497322784297"/>
    <n v="6.8255130207021608"/>
    <n v="17.589281216944542"/>
    <n v="172.84044642857143"/>
    <n v="21.448538602201172"/>
  </r>
  <r>
    <d v="2024-12-12T00:00:00"/>
    <s v="AD005"/>
    <x v="2"/>
    <x v="2"/>
    <s v="25–35 Age"/>
    <n v="135664"/>
    <n v="4928"/>
    <n v="1186"/>
    <n v="699"/>
    <n v="396"/>
    <n v="57125.919999999998"/>
    <n v="2556577.29"/>
    <s v="West India"/>
    <n v="3.6325038329991748"/>
    <n v="11.59211038961039"/>
    <n v="24.066558441558442"/>
    <n v="144.25737373737374"/>
    <n v="44.753367473119035"/>
  </r>
  <r>
    <d v="2024-12-13T00:00:00"/>
    <s v="AD005"/>
    <x v="2"/>
    <x v="2"/>
    <s v="25–35 Age"/>
    <n v="160397"/>
    <n v="9855"/>
    <n v="1850"/>
    <n v="945"/>
    <n v="509"/>
    <n v="66687.61"/>
    <n v="2358767.81"/>
    <s v="Pan India"/>
    <n v="6.1441298777408555"/>
    <n v="6.7668807711821408"/>
    <n v="18.772196854388636"/>
    <n v="131.01691552062869"/>
    <n v="35.370405537100524"/>
  </r>
  <r>
    <d v="2024-12-14T00:00:00"/>
    <s v="AD005"/>
    <x v="2"/>
    <x v="2"/>
    <s v="22–27 Age"/>
    <n v="79723"/>
    <n v="3466"/>
    <n v="546"/>
    <n v="277"/>
    <n v="162"/>
    <n v="45007.68"/>
    <n v="714695.19"/>
    <s v="Pan India"/>
    <n v="4.3475534036601733"/>
    <n v="12.985481823427582"/>
    <n v="15.753029428736296"/>
    <n v="277.82518518518521"/>
    <n v="15.879405248170977"/>
  </r>
  <r>
    <d v="2024-12-15T00:00:00"/>
    <s v="AD005"/>
    <x v="2"/>
    <x v="2"/>
    <s v="25–35 Age"/>
    <n v="152326"/>
    <n v="8620"/>
    <n v="2136"/>
    <n v="1366"/>
    <n v="558"/>
    <n v="144403.81"/>
    <n v="4066244.11"/>
    <s v="North India"/>
    <n v="5.6589157464910782"/>
    <n v="16.752182134570766"/>
    <n v="24.779582366589327"/>
    <n v="258.78818996415771"/>
    <n v="28.158842277083963"/>
  </r>
  <r>
    <d v="2024-12-16T00:00:00"/>
    <s v="AD005"/>
    <x v="2"/>
    <x v="2"/>
    <s v="25–35 Age"/>
    <n v="215008"/>
    <n v="12718"/>
    <n v="3010"/>
    <n v="1775"/>
    <n v="928"/>
    <n v="185494.55"/>
    <n v="5966828.5599999996"/>
    <s v="North India"/>
    <n v="5.915128739395743"/>
    <n v="14.58519814436232"/>
    <n v="23.66724327724485"/>
    <n v="199.88636853448276"/>
    <n v="32.167136770325598"/>
  </r>
  <r>
    <d v="2024-12-17T00:00:00"/>
    <s v="AD005"/>
    <x v="2"/>
    <x v="2"/>
    <s v="25–35 Age"/>
    <n v="226154"/>
    <n v="6787"/>
    <n v="1355"/>
    <n v="775"/>
    <n v="413"/>
    <n v="127284.48"/>
    <n v="3048285.96"/>
    <s v="East India"/>
    <n v="3.0010523802364757"/>
    <n v="18.754159422425225"/>
    <n v="19.964638279062914"/>
    <n v="308.19486682808713"/>
    <n v="23.94860677436872"/>
  </r>
  <r>
    <d v="2024-12-18T00:00:00"/>
    <s v="AD005"/>
    <x v="2"/>
    <x v="2"/>
    <s v="17–21 Age"/>
    <n v="65380"/>
    <n v="3622"/>
    <n v="886"/>
    <n v="466"/>
    <n v="197"/>
    <n v="38280.769999999997"/>
    <n v="618935.67000000004"/>
    <s v="East India"/>
    <n v="5.5399204649739984"/>
    <n v="10.568959138597458"/>
    <n v="24.461623412479295"/>
    <n v="194.31862944162435"/>
    <n v="16.168318192136681"/>
  </r>
  <r>
    <d v="2024-12-19T00:00:00"/>
    <s v="AD005"/>
    <x v="2"/>
    <x v="2"/>
    <s v="22–27 Age"/>
    <n v="64816"/>
    <n v="4503"/>
    <n v="783"/>
    <n v="385"/>
    <n v="198"/>
    <n v="36917.17"/>
    <n v="1292747.3500000001"/>
    <s v="South India"/>
    <n v="6.947358676869908"/>
    <n v="8.1983499888962914"/>
    <n v="17.388407728181214"/>
    <n v="186.45035353535351"/>
    <n v="35.017509467816744"/>
  </r>
  <r>
    <d v="2024-12-20T00:00:00"/>
    <s v="AD005"/>
    <x v="2"/>
    <x v="2"/>
    <s v="25–35 Age"/>
    <n v="129732"/>
    <n v="6744"/>
    <n v="1532"/>
    <n v="866"/>
    <n v="459"/>
    <n v="59861.08"/>
    <n v="3616448.38"/>
    <s v="North India"/>
    <n v="5.198409027842013"/>
    <n v="8.8761981020166072"/>
    <n v="22.716488730723604"/>
    <n v="130.41629629629631"/>
    <n v="60.41401825693756"/>
  </r>
  <r>
    <d v="2024-12-21T00:00:00"/>
    <s v="AD005"/>
    <x v="2"/>
    <x v="2"/>
    <s v="25–35 Age"/>
    <n v="191010"/>
    <n v="6685"/>
    <n v="1113"/>
    <n v="682"/>
    <n v="386"/>
    <n v="84242.54"/>
    <n v="2143080.9500000002"/>
    <s v="East India"/>
    <n v="3.4998167635202346"/>
    <n v="12.601726252804786"/>
    <n v="16.649214659685864"/>
    <n v="218.24492227979272"/>
    <n v="25.439415169580599"/>
  </r>
  <r>
    <d v="2024-12-22T00:00:00"/>
    <s v="AD005"/>
    <x v="2"/>
    <x v="2"/>
    <s v="22–27 Age"/>
    <n v="68302"/>
    <n v="2222"/>
    <n v="383"/>
    <n v="243"/>
    <n v="139"/>
    <n v="55070.2"/>
    <n v="866752.39"/>
    <s v="West India"/>
    <n v="3.2531990278469154"/>
    <n v="24.784068406840682"/>
    <n v="17.236723672367237"/>
    <n v="396.18848920863309"/>
    <n v="15.739045618138304"/>
  </r>
  <r>
    <d v="2024-12-23T00:00:00"/>
    <s v="AD005"/>
    <x v="2"/>
    <x v="2"/>
    <s v="22–27 Age"/>
    <n v="148429"/>
    <n v="6118"/>
    <n v="1413"/>
    <n v="782"/>
    <n v="344"/>
    <n v="93856.35"/>
    <n v="1316377.6200000001"/>
    <s v="North India"/>
    <n v="4.1218360293473655"/>
    <n v="15.341018306636157"/>
    <n v="23.095782935599871"/>
    <n v="272.83822674418604"/>
    <n v="14.025450808602722"/>
  </r>
  <r>
    <d v="2024-12-24T00:00:00"/>
    <s v="AD005"/>
    <x v="2"/>
    <x v="2"/>
    <s v="22–27 Age"/>
    <n v="130005"/>
    <n v="7572"/>
    <n v="1183"/>
    <n v="758"/>
    <n v="342"/>
    <n v="52249.34"/>
    <n v="2407660.84"/>
    <s v="South India"/>
    <n v="5.8243913695627096"/>
    <n v="6.9003354463814048"/>
    <n v="15.623349181193872"/>
    <n v="152.77584795321636"/>
    <n v="46.080215367313734"/>
  </r>
  <r>
    <d v="2024-12-25T00:00:00"/>
    <s v="AD005"/>
    <x v="2"/>
    <x v="2"/>
    <s v="25–35 Age"/>
    <n v="188671"/>
    <n v="14836"/>
    <n v="3690"/>
    <n v="2154"/>
    <n v="921"/>
    <n v="187239.3"/>
    <n v="5745146.2000000002"/>
    <s v="West India"/>
    <n v="7.8634236316127009"/>
    <n v="12.620605284443245"/>
    <n v="24.871933135616072"/>
    <n v="203.29999999999998"/>
    <n v="30.683441991077732"/>
  </r>
  <r>
    <d v="2024-12-26T00:00:00"/>
    <s v="AD005"/>
    <x v="2"/>
    <x v="2"/>
    <s v="22–27 Age"/>
    <n v="210372"/>
    <n v="8399"/>
    <n v="1694"/>
    <n v="973"/>
    <n v="468"/>
    <n v="119550.69"/>
    <n v="3244204.25"/>
    <s v="South India"/>
    <n v="3.9924514669252567"/>
    <n v="14.233919514227885"/>
    <n v="20.169067746160259"/>
    <n v="255.4501923076923"/>
    <n v="27.136641787680187"/>
  </r>
  <r>
    <d v="2024-12-27T00:00:00"/>
    <s v="AD005"/>
    <x v="2"/>
    <x v="2"/>
    <s v="17–21 Age"/>
    <n v="242821"/>
    <n v="11287"/>
    <n v="2295"/>
    <n v="1202"/>
    <n v="698"/>
    <n v="99352.03"/>
    <n v="4449421.0999999996"/>
    <s v="Pan India"/>
    <n v="4.648280008730711"/>
    <n v="8.8023416319659784"/>
    <n v="20.333126605829715"/>
    <n v="142.33815186246417"/>
    <n v="44.784400479788886"/>
  </r>
  <r>
    <d v="2024-12-28T00:00:00"/>
    <s v="AD005"/>
    <x v="2"/>
    <x v="2"/>
    <s v="22–27 Age"/>
    <n v="203553"/>
    <n v="16070"/>
    <n v="3160"/>
    <n v="1749"/>
    <n v="804"/>
    <n v="85165.18"/>
    <n v="4136749.5"/>
    <s v="West India"/>
    <n v="7.8947497703300851"/>
    <n v="5.2996378344741748"/>
    <n v="19.663970130678283"/>
    <n v="105.92684079601989"/>
    <n v="48.573249067283136"/>
  </r>
  <r>
    <d v="2024-12-29T00:00:00"/>
    <s v="AD005"/>
    <x v="2"/>
    <x v="2"/>
    <s v="17–21 Age"/>
    <n v="76603"/>
    <n v="5356"/>
    <n v="1267"/>
    <n v="651"/>
    <n v="332"/>
    <n v="45529.69"/>
    <n v="1938587.1"/>
    <s v="West India"/>
    <n v="6.9918932678876802"/>
    <n v="8.5006889469753553"/>
    <n v="23.655713218820015"/>
    <n v="137.13762048192771"/>
    <n v="42.578526232003775"/>
  </r>
  <r>
    <d v="2024-12-30T00:00:00"/>
    <s v="AD005"/>
    <x v="2"/>
    <x v="2"/>
    <s v="22–27 Age"/>
    <n v="170097"/>
    <n v="6950"/>
    <n v="1199"/>
    <n v="740"/>
    <n v="397"/>
    <n v="123129.23"/>
    <n v="2422516.6800000002"/>
    <s v="South India"/>
    <n v="4.0859039254072682"/>
    <n v="17.716435971223021"/>
    <n v="17.25179856115108"/>
    <n v="310.14919395465995"/>
    <n v="19.67458644872546"/>
  </r>
  <r>
    <d v="2024-12-31T00:00:00"/>
    <s v="AD005"/>
    <x v="2"/>
    <x v="2"/>
    <s v="22–27 Age"/>
    <n v="131701"/>
    <n v="9179"/>
    <n v="1437"/>
    <n v="927"/>
    <n v="505"/>
    <n v="59393.39"/>
    <n v="3247013.45"/>
    <s v="Pan India"/>
    <n v="6.9695750222093986"/>
    <n v="6.4705730471728948"/>
    <n v="15.655300141627629"/>
    <n v="117.61067326732673"/>
    <n v="54.669609698991763"/>
  </r>
  <r>
    <d v="2025-01-01T00:00:00"/>
    <s v="AD003"/>
    <x v="3"/>
    <x v="3"/>
    <s v="22–27 Age"/>
    <n v="279530"/>
    <n v="19894"/>
    <n v="3599"/>
    <n v="2203"/>
    <n v="1218"/>
    <n v="273389.71999999997"/>
    <n v="8583247.3000000007"/>
    <s v="South India"/>
    <n v="7.1169463027224271"/>
    <n v="13.742320297577157"/>
    <n v="18.090881672866193"/>
    <n v="224.45789819376023"/>
    <n v="31.395647575922027"/>
  </r>
  <r>
    <d v="2025-01-02T00:00:00"/>
    <s v="AD003"/>
    <x v="3"/>
    <x v="3"/>
    <s v="17–21 Age"/>
    <n v="107357"/>
    <n v="3850"/>
    <n v="660"/>
    <n v="404"/>
    <n v="170"/>
    <n v="64297.75"/>
    <n v="639111.06000000006"/>
    <s v="West India"/>
    <n v="3.5861657833210687"/>
    <n v="16.700714285714287"/>
    <n v="17.142857142857142"/>
    <n v="378.22205882352944"/>
    <n v="9.9398666360798007"/>
  </r>
  <r>
    <d v="2025-01-03T00:00:00"/>
    <s v="AD003"/>
    <x v="3"/>
    <x v="3"/>
    <s v="25–35 Age"/>
    <n v="234568"/>
    <n v="11507"/>
    <n v="2233"/>
    <n v="1415"/>
    <n v="677"/>
    <n v="228209.58"/>
    <n v="3116134.9"/>
    <s v="West India"/>
    <n v="4.9056137239521158"/>
    <n v="19.832239506387417"/>
    <n v="19.405579212653169"/>
    <n v="337.08948301329394"/>
    <n v="13.65470678312453"/>
  </r>
  <r>
    <d v="2025-01-04T00:00:00"/>
    <s v="AD003"/>
    <x v="3"/>
    <x v="3"/>
    <s v="25–35 Age"/>
    <n v="118873"/>
    <n v="6602"/>
    <n v="1257"/>
    <n v="706"/>
    <n v="337"/>
    <n v="88250.44"/>
    <n v="1510928.16"/>
    <s v="West India"/>
    <n v="5.5538263524938385"/>
    <n v="13.367228112693123"/>
    <n v="19.039684943956377"/>
    <n v="261.87074183976262"/>
    <n v="17.120913618107739"/>
  </r>
  <r>
    <d v="2025-01-05T00:00:00"/>
    <s v="AD003"/>
    <x v="3"/>
    <x v="3"/>
    <s v="22–27 Age"/>
    <n v="65935"/>
    <n v="3337"/>
    <n v="635"/>
    <n v="299"/>
    <n v="144"/>
    <n v="33688.76"/>
    <n v="618176.80000000005"/>
    <s v="Pan India"/>
    <n v="5.0610449685296128"/>
    <n v="10.09552292478274"/>
    <n v="19.029068025172311"/>
    <n v="233.94972222222225"/>
    <n v="18.349645401018027"/>
  </r>
  <r>
    <d v="2025-01-06T00:00:00"/>
    <s v="AD003"/>
    <x v="3"/>
    <x v="3"/>
    <s v="25–35 Age"/>
    <n v="98052"/>
    <n v="5653"/>
    <n v="1278"/>
    <n v="620"/>
    <n v="365"/>
    <n v="66527.789999999994"/>
    <n v="2071736.22"/>
    <s v="East India"/>
    <n v="5.765308203810223"/>
    <n v="11.768581284273836"/>
    <n v="22.607465062798514"/>
    <n v="182.26791780821915"/>
    <n v="31.140914496032412"/>
  </r>
  <r>
    <d v="2025-01-07T00:00:00"/>
    <s v="AD003"/>
    <x v="3"/>
    <x v="3"/>
    <s v="22–27 Age"/>
    <n v="131378"/>
    <n v="7546"/>
    <n v="1518"/>
    <n v="715"/>
    <n v="293"/>
    <n v="83251.47"/>
    <n v="1142012.75"/>
    <s v="Pan India"/>
    <n v="5.7437318272465712"/>
    <n v="11.032529817121654"/>
    <n v="20.11661807580175"/>
    <n v="284.13470989761095"/>
    <n v="13.7176286496803"/>
  </r>
  <r>
    <d v="2025-01-08T00:00:00"/>
    <s v="AD003"/>
    <x v="3"/>
    <x v="3"/>
    <s v="22–27 Age"/>
    <n v="262420"/>
    <n v="14446"/>
    <n v="3479"/>
    <n v="2040"/>
    <n v="966"/>
    <n v="119191.61"/>
    <n v="6335108.8300000001"/>
    <s v="West India"/>
    <n v="5.5049157838579372"/>
    <n v="8.2508382943375338"/>
    <n v="24.082791084037105"/>
    <n v="123.38675983436853"/>
    <n v="53.150627212771099"/>
  </r>
  <r>
    <d v="2025-01-09T00:00:00"/>
    <s v="AD003"/>
    <x v="3"/>
    <x v="3"/>
    <s v="25–35 Age"/>
    <n v="153266"/>
    <n v="6717"/>
    <n v="1640"/>
    <n v="966"/>
    <n v="430"/>
    <n v="153149.87"/>
    <n v="2013145.18"/>
    <s v="Pan India"/>
    <n v="4.3825766967233433"/>
    <n v="22.800337948488909"/>
    <n v="24.415661753759117"/>
    <n v="356.16248837209304"/>
    <n v="13.144935611110869"/>
  </r>
  <r>
    <d v="2025-01-10T00:00:00"/>
    <s v="AD003"/>
    <x v="3"/>
    <x v="3"/>
    <s v="22–27 Age"/>
    <n v="70209"/>
    <n v="2239"/>
    <n v="511"/>
    <n v="331"/>
    <n v="185"/>
    <n v="54632.02"/>
    <n v="1173022.8899999999"/>
    <s v="South India"/>
    <n v="3.1890498369154954"/>
    <n v="24.400187583742742"/>
    <n v="22.822688700312639"/>
    <n v="295.30821621621618"/>
    <n v="21.471343911500984"/>
  </r>
  <r>
    <d v="2025-01-11T00:00:00"/>
    <s v="AD003"/>
    <x v="3"/>
    <x v="3"/>
    <s v="22–27 Age"/>
    <n v="125823"/>
    <n v="6100"/>
    <n v="1244"/>
    <n v="598"/>
    <n v="263"/>
    <n v="78509.289999999994"/>
    <n v="1955712.94"/>
    <s v="South India"/>
    <n v="4.8480802397018037"/>
    <n v="12.870375409836065"/>
    <n v="20.393442622950818"/>
    <n v="298.51441064638783"/>
    <n v="24.910592619039097"/>
  </r>
  <r>
    <d v="2025-01-12T00:00:00"/>
    <s v="AD003"/>
    <x v="3"/>
    <x v="3"/>
    <s v="25–35 Age"/>
    <n v="203716"/>
    <n v="6420"/>
    <n v="1047"/>
    <n v="499"/>
    <n v="199"/>
    <n v="165278.22"/>
    <n v="840797.82"/>
    <s v="West India"/>
    <n v="3.151446130888099"/>
    <n v="25.744271028037382"/>
    <n v="16.308411214953271"/>
    <n v="830.54381909547737"/>
    <n v="5.087166476018437"/>
  </r>
  <r>
    <d v="2025-01-13T00:00:00"/>
    <s v="AD003"/>
    <x v="3"/>
    <x v="3"/>
    <s v="22–27 Age"/>
    <n v="146482"/>
    <n v="4711"/>
    <n v="931"/>
    <n v="572"/>
    <n v="338"/>
    <n v="141930.1"/>
    <n v="2174371.9300000002"/>
    <s v="North India"/>
    <n v="3.2160948102838574"/>
    <n v="30.127382721290598"/>
    <n v="19.762258543833582"/>
    <n v="419.9115384615385"/>
    <n v="15.320019713929604"/>
  </r>
  <r>
    <d v="2025-01-14T00:00:00"/>
    <s v="AD003"/>
    <x v="3"/>
    <x v="3"/>
    <s v="22–27 Age"/>
    <n v="266480"/>
    <n v="8507"/>
    <n v="1449"/>
    <n v="740"/>
    <n v="346"/>
    <n v="179057.44"/>
    <n v="2625757.6800000002"/>
    <s v="Pan India"/>
    <n v="3.1923596517562292"/>
    <n v="21.048247325731751"/>
    <n v="17.033031621017987"/>
    <n v="517.50705202312145"/>
    <n v="14.664331624533446"/>
  </r>
  <r>
    <d v="2025-01-15T00:00:00"/>
    <s v="AD003"/>
    <x v="3"/>
    <x v="3"/>
    <s v="22–27 Age"/>
    <n v="119877"/>
    <n v="5157"/>
    <n v="853"/>
    <n v="489"/>
    <n v="196"/>
    <n v="55662.12"/>
    <n v="601879.73"/>
    <s v="East India"/>
    <n v="4.3019094571936236"/>
    <n v="10.793507853403142"/>
    <n v="16.540624394027535"/>
    <n v="283.99040816326533"/>
    <n v="10.813093895812807"/>
  </r>
  <r>
    <d v="2025-01-16T00:00:00"/>
    <s v="AD003"/>
    <x v="3"/>
    <x v="3"/>
    <s v="25–35 Age"/>
    <n v="258617"/>
    <n v="11130"/>
    <n v="2706"/>
    <n v="1265"/>
    <n v="634"/>
    <n v="220388.72"/>
    <n v="3969227.91"/>
    <s v="East India"/>
    <n v="4.3036613989026247"/>
    <n v="19.801322551662174"/>
    <n v="24.31266846361186"/>
    <n v="347.61627760252367"/>
    <n v="18.010122795758331"/>
  </r>
  <r>
    <d v="2025-01-17T00:00:00"/>
    <s v="AD003"/>
    <x v="3"/>
    <x v="3"/>
    <s v="25–35 Age"/>
    <n v="286009"/>
    <n v="20719"/>
    <n v="3174"/>
    <n v="1988"/>
    <n v="1183"/>
    <n v="159981.23000000001"/>
    <n v="5016566.76"/>
    <s v="North India"/>
    <n v="7.2441776307738568"/>
    <n v="7.7214744920121632"/>
    <n v="15.31927216564506"/>
    <n v="135.23349957734575"/>
    <n v="31.357220843970254"/>
  </r>
  <r>
    <d v="2025-01-18T00:00:00"/>
    <s v="AD003"/>
    <x v="3"/>
    <x v="3"/>
    <s v="22–27 Age"/>
    <n v="143217"/>
    <n v="6695"/>
    <n v="1166"/>
    <n v="607"/>
    <n v="327"/>
    <n v="67853.55"/>
    <n v="1547240.6"/>
    <s v="South India"/>
    <n v="4.6747243693136991"/>
    <n v="10.134958924570576"/>
    <n v="17.415982076176249"/>
    <n v="207.50321100917432"/>
    <n v="22.802647761244621"/>
  </r>
  <r>
    <d v="2025-01-19T00:00:00"/>
    <s v="AD003"/>
    <x v="3"/>
    <x v="3"/>
    <s v="22–27 Age"/>
    <n v="72167"/>
    <n v="3593"/>
    <n v="602"/>
    <n v="351"/>
    <n v="197"/>
    <n v="70366.31"/>
    <n v="1134508.6499999999"/>
    <s v="East India"/>
    <n v="4.9787298903931161"/>
    <n v="19.584277762315612"/>
    <n v="16.754801001948234"/>
    <n v="357.18939086294415"/>
    <n v="16.122895317375601"/>
  </r>
  <r>
    <d v="2025-01-20T00:00:00"/>
    <s v="AD003"/>
    <x v="3"/>
    <x v="3"/>
    <s v="22–27 Age"/>
    <n v="239490"/>
    <n v="16490"/>
    <n v="2821"/>
    <n v="1500"/>
    <n v="857"/>
    <n v="231252.5"/>
    <n v="2591070.7400000002"/>
    <s v="Pan India"/>
    <n v="6.8854649463443147"/>
    <n v="14.023802304426926"/>
    <n v="17.107337780473014"/>
    <n v="269.83955659276546"/>
    <n v="11.204509097198951"/>
  </r>
  <r>
    <d v="2025-01-21T00:00:00"/>
    <s v="AD003"/>
    <x v="3"/>
    <x v="3"/>
    <s v="22–27 Age"/>
    <n v="114858"/>
    <n v="8995"/>
    <n v="2140"/>
    <n v="1042"/>
    <n v="585"/>
    <n v="109054.25"/>
    <n v="3742051.97"/>
    <s v="Pan India"/>
    <n v="7.8314092183391661"/>
    <n v="12.123874374652585"/>
    <n v="23.790994997220675"/>
    <n v="186.41752136752137"/>
    <n v="34.313673882494264"/>
  </r>
  <r>
    <d v="2025-01-22T00:00:00"/>
    <s v="AD003"/>
    <x v="3"/>
    <x v="3"/>
    <s v="25–35 Age"/>
    <n v="287469"/>
    <n v="15650"/>
    <n v="3709"/>
    <n v="1899"/>
    <n v="784"/>
    <n v="253282.64"/>
    <n v="2874025.11"/>
    <s v="West India"/>
    <n v="5.4440652731251022"/>
    <n v="16.18419424920128"/>
    <n v="23.699680511182109"/>
    <n v="323.06459183673473"/>
    <n v="11.347106576273841"/>
  </r>
  <r>
    <d v="2025-01-23T00:00:00"/>
    <s v="AD003"/>
    <x v="3"/>
    <x v="3"/>
    <s v="22–27 Age"/>
    <n v="160382"/>
    <n v="12822"/>
    <n v="2675"/>
    <n v="1467"/>
    <n v="670"/>
    <n v="98850.69"/>
    <n v="3011981.4"/>
    <s v="Pan India"/>
    <n v="7.9946627427017996"/>
    <n v="7.7094595226953677"/>
    <n v="20.862579940726874"/>
    <n v="147.53834328358209"/>
    <n v="30.470008858815248"/>
  </r>
  <r>
    <d v="2025-01-24T00:00:00"/>
    <s v="AD003"/>
    <x v="3"/>
    <x v="3"/>
    <s v="22–27 Age"/>
    <n v="87341"/>
    <n v="6016"/>
    <n v="1290"/>
    <n v="669"/>
    <n v="315"/>
    <n v="35138.720000000001"/>
    <n v="2092169.31"/>
    <s v="East India"/>
    <n v="6.8879449513973974"/>
    <n v="5.8408776595744687"/>
    <n v="21.44281914893617"/>
    <n v="111.55149206349206"/>
    <n v="59.540282343807625"/>
  </r>
  <r>
    <d v="2025-01-25T00:00:00"/>
    <s v="AD003"/>
    <x v="3"/>
    <x v="3"/>
    <s v="22–27 Age"/>
    <n v="184938"/>
    <n v="6118"/>
    <n v="1450"/>
    <n v="865"/>
    <n v="478"/>
    <n v="132226.89000000001"/>
    <n v="1439934.34"/>
    <s v="North India"/>
    <n v="3.3081356995317348"/>
    <n v="21.612763975155282"/>
    <n v="23.700555737169012"/>
    <n v="276.62529288702933"/>
    <n v="10.889875274235067"/>
  </r>
  <r>
    <d v="2025-01-26T00:00:00"/>
    <s v="AD003"/>
    <x v="3"/>
    <x v="3"/>
    <s v="22–27 Age"/>
    <n v="63670"/>
    <n v="3261"/>
    <n v="779"/>
    <n v="463"/>
    <n v="260"/>
    <n v="57921.04"/>
    <n v="1810450.96"/>
    <s v="North India"/>
    <n v="5.1217213758441966"/>
    <n v="17.761741796994787"/>
    <n v="23.888377798221406"/>
    <n v="222.77323076923076"/>
    <n v="31.257224663093066"/>
  </r>
  <r>
    <d v="2025-01-27T00:00:00"/>
    <s v="AD003"/>
    <x v="3"/>
    <x v="3"/>
    <s v="17–21 Age"/>
    <n v="182711"/>
    <n v="13431"/>
    <n v="2341"/>
    <n v="1427"/>
    <n v="816"/>
    <n v="123017.03"/>
    <n v="5356819.38"/>
    <s v="North India"/>
    <n v="7.3509531445835234"/>
    <n v="9.1591862110043927"/>
    <n v="17.42982652073561"/>
    <n v="150.75616421568628"/>
    <n v="43.545347989623878"/>
  </r>
  <r>
    <d v="2025-01-28T00:00:00"/>
    <s v="AD003"/>
    <x v="3"/>
    <x v="3"/>
    <s v="17–21 Age"/>
    <n v="228212"/>
    <n v="18002"/>
    <n v="4371"/>
    <n v="2526"/>
    <n v="1404"/>
    <n v="140065.29999999999"/>
    <n v="6510695.7000000002"/>
    <s v="South India"/>
    <n v="7.888279319229488"/>
    <n v="7.7805410509943336"/>
    <n v="24.280635484946117"/>
    <n v="99.761609686609674"/>
    <n v="46.48328815202624"/>
  </r>
  <r>
    <d v="2025-01-29T00:00:00"/>
    <s v="AD003"/>
    <x v="3"/>
    <x v="3"/>
    <s v="25–35 Age"/>
    <n v="258910"/>
    <n v="20306"/>
    <n v="3105"/>
    <n v="1415"/>
    <n v="615"/>
    <n v="196117.34"/>
    <n v="4520782.34"/>
    <s v="East India"/>
    <n v="7.8428797651693642"/>
    <n v="9.6580980990840146"/>
    <n v="15.291046981187826"/>
    <n v="318.88998373983742"/>
    <n v="23.051415749367191"/>
  </r>
  <r>
    <d v="2025-01-30T00:00:00"/>
    <s v="AD003"/>
    <x v="3"/>
    <x v="3"/>
    <s v="17–21 Age"/>
    <n v="90143"/>
    <n v="2803"/>
    <n v="540"/>
    <n v="314"/>
    <n v="175"/>
    <n v="40656.589999999997"/>
    <n v="1007449.12"/>
    <s v="Pan India"/>
    <n v="3.1095037884250578"/>
    <n v="14.504669996432392"/>
    <n v="19.265073135925796"/>
    <n v="232.32337142857142"/>
    <n v="24.779479046324351"/>
  </r>
  <r>
    <d v="2025-01-31T00:00:00"/>
    <s v="AD003"/>
    <x v="3"/>
    <x v="3"/>
    <s v="22–27 Age"/>
    <n v="85144"/>
    <n v="3382"/>
    <n v="587"/>
    <n v="296"/>
    <n v="155"/>
    <n v="42903.25"/>
    <n v="564840.05000000005"/>
    <s v="Pan India"/>
    <n v="3.9720943343042374"/>
    <n v="12.685762862211709"/>
    <n v="17.356593731519812"/>
    <n v="276.7951612903226"/>
    <n v="13.165437350317285"/>
  </r>
  <r>
    <d v="2025-02-01T00:00:00"/>
    <s v="AD003"/>
    <x v="3"/>
    <x v="3"/>
    <s v="25–35 Age"/>
    <n v="247492"/>
    <n v="18132"/>
    <n v="4384"/>
    <n v="2710"/>
    <n v="1613"/>
    <n v="189072.19"/>
    <n v="6367802.4699999997"/>
    <s v="East India"/>
    <n v="7.3262974156740421"/>
    <n v="10.42754191484668"/>
    <n v="24.17824840061769"/>
    <n v="117.21772473651581"/>
    <n v="33.679212527236288"/>
  </r>
  <r>
    <d v="2025-02-02T00:00:00"/>
    <s v="AD003"/>
    <x v="3"/>
    <x v="3"/>
    <s v="25–35 Age"/>
    <n v="131901"/>
    <n v="8460"/>
    <n v="1385"/>
    <n v="816"/>
    <n v="412"/>
    <n v="123943.03"/>
    <n v="2536624.06"/>
    <s v="East India"/>
    <n v="6.4139013350922287"/>
    <n v="14.650476359338061"/>
    <n v="16.371158392434985"/>
    <n v="300.83259708737864"/>
    <n v="20.466048474044889"/>
  </r>
  <r>
    <d v="2025-02-03T00:00:00"/>
    <s v="AD003"/>
    <x v="3"/>
    <x v="3"/>
    <s v="25–35 Age"/>
    <n v="228466"/>
    <n v="8425"/>
    <n v="1286"/>
    <n v="782"/>
    <n v="385"/>
    <n v="169210.25"/>
    <n v="1194707.96"/>
    <s v="East India"/>
    <n v="3.6876384232227117"/>
    <n v="20.084302670623146"/>
    <n v="15.264094955489615"/>
    <n v="439.50714285714287"/>
    <n v="7.0604940303557262"/>
  </r>
  <r>
    <d v="2025-02-04T00:00:00"/>
    <s v="AD003"/>
    <x v="3"/>
    <x v="3"/>
    <s v="17–21 Age"/>
    <n v="224736"/>
    <n v="14914"/>
    <n v="3722"/>
    <n v="2167"/>
    <n v="1264"/>
    <n v="217968.09"/>
    <n v="3957313.4"/>
    <s v="West India"/>
    <n v="6.6362309554321515"/>
    <n v="14.614998658978141"/>
    <n v="24.956416789593671"/>
    <n v="172.44310917721518"/>
    <n v="18.155471289398371"/>
  </r>
  <r>
    <d v="2025-02-05T00:00:00"/>
    <s v="AD003"/>
    <x v="3"/>
    <x v="3"/>
    <s v="25–35 Age"/>
    <n v="169022"/>
    <n v="13204"/>
    <n v="3261"/>
    <n v="1590"/>
    <n v="892"/>
    <n v="147597.12"/>
    <n v="2727577.06"/>
    <s v="West India"/>
    <n v="7.8120008046289842"/>
    <n v="11.178212662829445"/>
    <n v="24.697061496516206"/>
    <n v="165.46762331838565"/>
    <n v="18.479879959717373"/>
  </r>
  <r>
    <d v="2025-02-06T00:00:00"/>
    <s v="AD003"/>
    <x v="3"/>
    <x v="3"/>
    <s v="17–21 Age"/>
    <n v="171440"/>
    <n v="12089"/>
    <n v="2871"/>
    <n v="1782"/>
    <n v="734"/>
    <n v="118811.98"/>
    <n v="2681533.2000000002"/>
    <s v="North India"/>
    <n v="7.0514465702286522"/>
    <n v="9.8281065431383894"/>
    <n v="23.748862602365787"/>
    <n v="161.86918256130789"/>
    <n v="22.569552329655647"/>
  </r>
  <r>
    <d v="2025-02-07T00:00:00"/>
    <s v="AD003"/>
    <x v="3"/>
    <x v="3"/>
    <s v="25–35 Age"/>
    <n v="157459"/>
    <n v="9897"/>
    <n v="2312"/>
    <n v="1209"/>
    <n v="650"/>
    <n v="142696.95000000001"/>
    <n v="2825372.26"/>
    <s v="North India"/>
    <n v="6.2854457350802431"/>
    <n v="14.418202485601698"/>
    <n v="23.360614327574012"/>
    <n v="219.53376923076925"/>
    <n v="19.799808335076534"/>
  </r>
  <r>
    <d v="2025-02-08T00:00:00"/>
    <s v="AD003"/>
    <x v="3"/>
    <x v="3"/>
    <s v="22–27 Age"/>
    <n v="65423"/>
    <n v="3275"/>
    <n v="709"/>
    <n v="417"/>
    <n v="179"/>
    <n v="31628.240000000002"/>
    <n v="642830.89"/>
    <s v="Pan India"/>
    <n v="5.005884780581753"/>
    <n v="9.657477862595421"/>
    <n v="21.648854961832061"/>
    <n v="176.69407821229052"/>
    <n v="20.324586192592442"/>
  </r>
  <r>
    <d v="2025-02-09T00:00:00"/>
    <s v="AD003"/>
    <x v="3"/>
    <x v="3"/>
    <s v="25–35 Age"/>
    <n v="194699"/>
    <n v="6867"/>
    <n v="1321"/>
    <n v="634"/>
    <n v="310"/>
    <n v="138099.75"/>
    <n v="2251050.92"/>
    <s v="East India"/>
    <n v="3.5269826758226799"/>
    <n v="20.110637833114897"/>
    <n v="19.23693024610456"/>
    <n v="445.48306451612905"/>
    <n v="16.300180992362403"/>
  </r>
  <r>
    <d v="2025-02-10T00:00:00"/>
    <s v="AD003"/>
    <x v="3"/>
    <x v="3"/>
    <s v="17–21 Age"/>
    <n v="258921"/>
    <n v="15451"/>
    <n v="3155"/>
    <n v="1580"/>
    <n v="846"/>
    <n v="123848.52"/>
    <n v="2990116.79"/>
    <s v="South India"/>
    <n v="5.9674572553018095"/>
    <n v="8.0155666299915858"/>
    <n v="20.41939033072293"/>
    <n v="146.39304964539008"/>
    <n v="24.143338894966206"/>
  </r>
  <r>
    <d v="2025-02-11T00:00:00"/>
    <s v="AD003"/>
    <x v="3"/>
    <x v="3"/>
    <s v="22–27 Age"/>
    <n v="127232"/>
    <n v="9034"/>
    <n v="1736"/>
    <n v="1112"/>
    <n v="517"/>
    <n v="111616.5"/>
    <n v="3367905.35"/>
    <s v="East India"/>
    <n v="7.1004149899396376"/>
    <n v="12.355158290901041"/>
    <n v="19.216294000442772"/>
    <n v="215.8926499032882"/>
    <n v="30.173902156043237"/>
  </r>
  <r>
    <d v="2025-02-12T00:00:00"/>
    <s v="AD003"/>
    <x v="3"/>
    <x v="3"/>
    <s v="17–21 Age"/>
    <n v="183701"/>
    <n v="10838"/>
    <n v="1745"/>
    <n v="807"/>
    <n v="469"/>
    <n v="163799.75"/>
    <n v="2978652.97"/>
    <s v="Pan India"/>
    <n v="5.8998045737366702"/>
    <n v="15.113466506735561"/>
    <n v="16.100756597158146"/>
    <n v="349.25319829424308"/>
    <n v="18.184722321004763"/>
  </r>
  <r>
    <d v="2025-02-13T00:00:00"/>
    <s v="AD003"/>
    <x v="3"/>
    <x v="3"/>
    <s v="17–21 Age"/>
    <n v="61637"/>
    <n v="4452"/>
    <n v="790"/>
    <n v="460"/>
    <n v="264"/>
    <n v="35763.230000000003"/>
    <n v="1837127.99"/>
    <s v="South India"/>
    <n v="7.2229342764897702"/>
    <n v="8.0330705300988328"/>
    <n v="17.744833782569632"/>
    <n v="135.4667803030303"/>
    <n v="51.369185333651345"/>
  </r>
  <r>
    <d v="2025-02-14T00:00:00"/>
    <s v="AD003"/>
    <x v="3"/>
    <x v="3"/>
    <s v="17–21 Age"/>
    <n v="115475"/>
    <n v="6434"/>
    <n v="1594"/>
    <n v="911"/>
    <n v="456"/>
    <n v="55074.85"/>
    <n v="1536942.26"/>
    <s v="East India"/>
    <n v="5.5717687811214551"/>
    <n v="8.5599704693814118"/>
    <n v="24.77463475287535"/>
    <n v="120.77817982456141"/>
    <n v="27.906426617594057"/>
  </r>
  <r>
    <d v="2025-02-15T00:00:00"/>
    <s v="AD003"/>
    <x v="3"/>
    <x v="3"/>
    <s v="17–21 Age"/>
    <n v="242487"/>
    <n v="10557"/>
    <n v="1644"/>
    <n v="940"/>
    <n v="476"/>
    <n v="137455.20000000001"/>
    <n v="2658068.14"/>
    <s v="North India"/>
    <n v="4.3536354526222025"/>
    <n v="13.020289855072464"/>
    <n v="15.572605853935778"/>
    <n v="288.7714285714286"/>
    <n v="19.337705230504191"/>
  </r>
  <r>
    <d v="2025-02-16T00:00:00"/>
    <s v="AD003"/>
    <x v="3"/>
    <x v="3"/>
    <s v="25–35 Age"/>
    <n v="236585"/>
    <n v="7923"/>
    <n v="1495"/>
    <n v="848"/>
    <n v="467"/>
    <n v="129801.04"/>
    <n v="3083695.93"/>
    <s v="East India"/>
    <n v="3.3489020859310612"/>
    <n v="16.382814590432915"/>
    <n v="18.869115234128486"/>
    <n v="277.94655246252677"/>
    <n v="23.757097246678459"/>
  </r>
  <r>
    <d v="2025-02-17T00:00:00"/>
    <s v="AD003"/>
    <x v="3"/>
    <x v="3"/>
    <s v="22–27 Age"/>
    <n v="109605"/>
    <n v="8284"/>
    <n v="1935"/>
    <n v="1132"/>
    <n v="663"/>
    <n v="61086.21"/>
    <n v="2830034.76"/>
    <s v="Pan India"/>
    <n v="7.5580493590620872"/>
    <n v="7.3739992757122161"/>
    <n v="23.358281023660069"/>
    <n v="92.136063348416286"/>
    <n v="46.328537324545096"/>
  </r>
  <r>
    <d v="2025-02-18T00:00:00"/>
    <s v="AD003"/>
    <x v="3"/>
    <x v="3"/>
    <s v="17–21 Age"/>
    <n v="59185"/>
    <n v="4390"/>
    <n v="1044"/>
    <n v="588"/>
    <n v="283"/>
    <n v="39767.599999999999"/>
    <n v="1548093.27"/>
    <s v="North India"/>
    <n v="7.4174199543803336"/>
    <n v="9.0586788154897491"/>
    <n v="23.781321184510251"/>
    <n v="140.52155477031801"/>
    <n v="38.928506372021445"/>
  </r>
  <r>
    <d v="2025-02-19T00:00:00"/>
    <s v="AD003"/>
    <x v="3"/>
    <x v="3"/>
    <s v="17–21 Age"/>
    <n v="183593"/>
    <n v="5650"/>
    <n v="1015"/>
    <n v="541"/>
    <n v="288"/>
    <n v="78874.38"/>
    <n v="867564.82"/>
    <s v="Pan India"/>
    <n v="3.077459380259596"/>
    <n v="13.960067256637169"/>
    <n v="17.964601769911503"/>
    <n v="273.86937499999999"/>
    <n v="10.999323481211515"/>
  </r>
  <r>
    <d v="2025-02-20T00:00:00"/>
    <s v="AD003"/>
    <x v="3"/>
    <x v="3"/>
    <s v="22–27 Age"/>
    <n v="115658"/>
    <n v="6141"/>
    <n v="1182"/>
    <n v="685"/>
    <n v="302"/>
    <n v="81667.73"/>
    <n v="2031836.19"/>
    <s v="South India"/>
    <n v="5.3096197409604171"/>
    <n v="13.298767301742387"/>
    <n v="19.247679531021006"/>
    <n v="270.42294701986754"/>
    <n v="24.879302877648247"/>
  </r>
  <r>
    <d v="2025-02-21T00:00:00"/>
    <s v="AD003"/>
    <x v="3"/>
    <x v="3"/>
    <s v="25–35 Age"/>
    <n v="125536"/>
    <n v="6373"/>
    <n v="1242"/>
    <n v="763"/>
    <n v="414"/>
    <n v="81484.23"/>
    <n v="3091570.59"/>
    <s v="South India"/>
    <n v="5.076631404537344"/>
    <n v="12.78585124745018"/>
    <n v="19.488466970029812"/>
    <n v="196.8218115942029"/>
    <n v="37.940722885888469"/>
  </r>
  <r>
    <d v="2025-02-22T00:00:00"/>
    <s v="AD003"/>
    <x v="3"/>
    <x v="3"/>
    <s v="25–35 Age"/>
    <n v="279784"/>
    <n v="19574"/>
    <n v="4822"/>
    <n v="2939"/>
    <n v="1343"/>
    <n v="143229.35"/>
    <n v="6633392.3399999999"/>
    <s v="North India"/>
    <n v="6.9961112858490839"/>
    <n v="7.3173265556350264"/>
    <n v="24.634719525901708"/>
    <n v="106.64880863737901"/>
    <n v="46.313079965803098"/>
  </r>
  <r>
    <d v="2025-02-23T00:00:00"/>
    <s v="AD003"/>
    <x v="3"/>
    <x v="3"/>
    <s v="22–27 Age"/>
    <n v="141610"/>
    <n v="8320"/>
    <n v="1667"/>
    <n v="1053"/>
    <n v="595"/>
    <n v="71547.48"/>
    <n v="4297339.82"/>
    <s v="South India"/>
    <n v="5.8752912929877832"/>
    <n v="8.59945673076923"/>
    <n v="20.036057692307693"/>
    <n v="120.24786554621848"/>
    <n v="60.062769785882054"/>
  </r>
  <r>
    <d v="2025-02-24T00:00:00"/>
    <s v="AD003"/>
    <x v="3"/>
    <x v="3"/>
    <s v="25–35 Age"/>
    <n v="145064"/>
    <n v="7505"/>
    <n v="1364"/>
    <n v="661"/>
    <n v="346"/>
    <n v="74277.509999999995"/>
    <n v="1181975.04"/>
    <s v="South India"/>
    <n v="5.1735785584293827"/>
    <n v="9.8970699533644222"/>
    <n v="18.174550299800131"/>
    <n v="214.67488439306356"/>
    <n v="15.912959925554857"/>
  </r>
  <r>
    <d v="2025-02-25T00:00:00"/>
    <s v="AD003"/>
    <x v="3"/>
    <x v="3"/>
    <s v="17–21 Age"/>
    <n v="298028"/>
    <n v="20642"/>
    <n v="4696"/>
    <n v="2781"/>
    <n v="1630"/>
    <n v="284889.28000000003"/>
    <n v="11577295.93"/>
    <s v="East India"/>
    <n v="6.926194854174776"/>
    <n v="13.801437845170042"/>
    <n v="22.749733552950296"/>
    <n v="174.77869938650309"/>
    <n v="40.63787844175814"/>
  </r>
  <r>
    <d v="2025-02-26T00:00:00"/>
    <s v="AD003"/>
    <x v="3"/>
    <x v="3"/>
    <s v="22–27 Age"/>
    <n v="82925"/>
    <n v="5003"/>
    <n v="1088"/>
    <n v="544"/>
    <n v="317"/>
    <n v="49214.3"/>
    <n v="2410736.98"/>
    <s v="East India"/>
    <n v="6.0331624962315349"/>
    <n v="9.8369578253048182"/>
    <n v="21.74695182890266"/>
    <n v="155.25015772870663"/>
    <n v="48.98448174615914"/>
  </r>
  <r>
    <d v="2025-02-27T00:00:00"/>
    <s v="AD003"/>
    <x v="3"/>
    <x v="3"/>
    <s v="22–27 Age"/>
    <n v="113983"/>
    <n v="4651"/>
    <n v="940"/>
    <n v="445"/>
    <n v="184"/>
    <n v="79830.66"/>
    <n v="692151.2"/>
    <s v="North India"/>
    <n v="4.0804330470333294"/>
    <n v="17.164192646742638"/>
    <n v="20.210707374758115"/>
    <n v="433.86228260869569"/>
    <n v="8.6702427363120869"/>
  </r>
  <r>
    <d v="2025-02-28T00:00:00"/>
    <s v="AD003"/>
    <x v="3"/>
    <x v="3"/>
    <s v="25–35 Age"/>
    <n v="103093"/>
    <n v="3235"/>
    <n v="665"/>
    <n v="347"/>
    <n v="181"/>
    <n v="70779.600000000006"/>
    <n v="1258576.42"/>
    <s v="North India"/>
    <n v="3.1379434103188384"/>
    <n v="21.879319938176199"/>
    <n v="20.556414219474497"/>
    <n v="391.0475138121547"/>
    <n v="17.781626626881188"/>
  </r>
  <r>
    <d v="2025-03-01T00:00:00"/>
    <s v="AD003"/>
    <x v="3"/>
    <x v="3"/>
    <s v="17–21 Age"/>
    <n v="53653"/>
    <n v="2463"/>
    <n v="459"/>
    <n v="282"/>
    <n v="149"/>
    <n v="37104.879999999997"/>
    <n v="1030118.97"/>
    <s v="East India"/>
    <n v="4.590610031125939"/>
    <n v="15.064912708079577"/>
    <n v="18.635809987819734"/>
    <n v="249.02604026845637"/>
    <n v="27.762358212720269"/>
  </r>
  <r>
    <d v="2025-03-02T00:00:00"/>
    <s v="AD003"/>
    <x v="3"/>
    <x v="3"/>
    <s v="17–21 Age"/>
    <n v="231442"/>
    <n v="13709"/>
    <n v="2805"/>
    <n v="1555"/>
    <n v="749"/>
    <n v="207424.01"/>
    <n v="4028445.09"/>
    <s v="West India"/>
    <n v="5.9232982777542542"/>
    <n v="15.130498942300679"/>
    <n v="20.461011014661899"/>
    <n v="276.93459279038717"/>
    <n v="19.4213056145236"/>
  </r>
  <r>
    <d v="2025-03-03T00:00:00"/>
    <s v="AD003"/>
    <x v="3"/>
    <x v="3"/>
    <s v="25–35 Age"/>
    <n v="134246"/>
    <n v="8250"/>
    <n v="1329"/>
    <n v="727"/>
    <n v="429"/>
    <n v="78289.58"/>
    <n v="2346719"/>
    <s v="West India"/>
    <n v="6.1454345008417386"/>
    <n v="9.4896460606060611"/>
    <n v="16.109090909090909"/>
    <n v="182.49319347319349"/>
    <n v="29.974857445907872"/>
  </r>
  <r>
    <d v="2025-03-04T00:00:00"/>
    <s v="AD003"/>
    <x v="3"/>
    <x v="3"/>
    <s v="17–21 Age"/>
    <n v="131176"/>
    <n v="5409"/>
    <n v="1273"/>
    <n v="750"/>
    <n v="449"/>
    <n v="67190.070000000007"/>
    <n v="3326521.1"/>
    <s v="South India"/>
    <n v="4.123467707507471"/>
    <n v="12.421902384914034"/>
    <n v="23.534849325198742"/>
    <n v="149.64380846325167"/>
    <n v="49.509117939600294"/>
  </r>
  <r>
    <d v="2025-03-05T00:00:00"/>
    <s v="AD003"/>
    <x v="3"/>
    <x v="3"/>
    <s v="25–35 Age"/>
    <n v="75507"/>
    <n v="4191"/>
    <n v="800"/>
    <n v="373"/>
    <n v="220"/>
    <n v="68079.25"/>
    <n v="1653602.64"/>
    <s v="South India"/>
    <n v="5.5504787635583455"/>
    <n v="16.244154139823433"/>
    <n v="19.088523025530897"/>
    <n v="309.45113636363635"/>
    <n v="24.289378041033061"/>
  </r>
  <r>
    <d v="2025-03-06T00:00:00"/>
    <s v="AD003"/>
    <x v="3"/>
    <x v="3"/>
    <s v="22–27 Age"/>
    <n v="188977"/>
    <n v="11714"/>
    <n v="2647"/>
    <n v="1690"/>
    <n v="798"/>
    <n v="113365.21"/>
    <n v="5029867.79"/>
    <s v="East India"/>
    <n v="6.1986379294834828"/>
    <n v="9.6777539696090162"/>
    <n v="22.596892607136759"/>
    <n v="142.06166666666667"/>
    <n v="44.368707031019476"/>
  </r>
  <r>
    <d v="2025-03-07T00:00:00"/>
    <s v="AD003"/>
    <x v="3"/>
    <x v="3"/>
    <s v="22–27 Age"/>
    <n v="252677"/>
    <n v="9888"/>
    <n v="1997"/>
    <n v="964"/>
    <n v="578"/>
    <n v="105630.8"/>
    <n v="3700568.66"/>
    <s v="North India"/>
    <n v="3.9132964219141435"/>
    <n v="10.682726537216828"/>
    <n v="20.196197411003237"/>
    <n v="182.7522491349481"/>
    <n v="35.033045854050144"/>
  </r>
  <r>
    <d v="2025-03-08T00:00:00"/>
    <s v="AD003"/>
    <x v="3"/>
    <x v="3"/>
    <s v="17–21 Age"/>
    <n v="146366"/>
    <n v="8269"/>
    <n v="1633"/>
    <n v="979"/>
    <n v="429"/>
    <n v="108116.05"/>
    <n v="2625145.2200000002"/>
    <s v="East India"/>
    <n v="5.6495360944481643"/>
    <n v="13.07486394969162"/>
    <n v="19.748458096505018"/>
    <n v="252.01876456876457"/>
    <n v="24.280809556027993"/>
  </r>
  <r>
    <d v="2025-03-09T00:00:00"/>
    <s v="AD003"/>
    <x v="3"/>
    <x v="3"/>
    <s v="25–35 Age"/>
    <n v="134757"/>
    <n v="6182"/>
    <n v="1265"/>
    <n v="682"/>
    <n v="294"/>
    <n v="74426.89"/>
    <n v="1368570.59"/>
    <s v="West India"/>
    <n v="4.5875167894803237"/>
    <n v="12.03928987382724"/>
    <n v="20.462633451957295"/>
    <n v="253.15268707482994"/>
    <n v="18.388120073269217"/>
  </r>
  <r>
    <d v="2025-03-10T00:00:00"/>
    <s v="AD003"/>
    <x v="3"/>
    <x v="3"/>
    <s v="22–27 Age"/>
    <n v="258417"/>
    <n v="18909"/>
    <n v="4020"/>
    <n v="2269"/>
    <n v="1059"/>
    <n v="140621.96"/>
    <n v="7367765.46"/>
    <s v="North India"/>
    <n v="7.3172430606345555"/>
    <n v="7.4367740229520329"/>
    <n v="21.259717594796129"/>
    <n v="132.78749763928232"/>
    <n v="52.394131471357674"/>
  </r>
  <r>
    <d v="2025-03-11T00:00:00"/>
    <s v="AD003"/>
    <x v="3"/>
    <x v="3"/>
    <s v="22–27 Age"/>
    <n v="209874"/>
    <n v="11904"/>
    <n v="2886"/>
    <n v="1634"/>
    <n v="908"/>
    <n v="156283.1"/>
    <n v="4945752.5199999996"/>
    <s v="Pan India"/>
    <n v="5.6719746133394322"/>
    <n v="13.12862063172043"/>
    <n v="24.243951612903224"/>
    <n v="172.11795154185023"/>
    <n v="31.646112215588246"/>
  </r>
  <r>
    <d v="2025-03-12T00:00:00"/>
    <s v="AD003"/>
    <x v="3"/>
    <x v="3"/>
    <s v="17–21 Age"/>
    <n v="142999"/>
    <n v="4752"/>
    <n v="762"/>
    <n v="444"/>
    <n v="200"/>
    <n v="92318.66"/>
    <n v="795253.41"/>
    <s v="Pan India"/>
    <n v="3.3231001615395912"/>
    <n v="19.427327441077441"/>
    <n v="16.035353535353536"/>
    <n v="461.5933"/>
    <n v="8.6142217618843251"/>
  </r>
  <r>
    <d v="2025-03-13T00:00:00"/>
    <s v="AD003"/>
    <x v="3"/>
    <x v="3"/>
    <s v="17–21 Age"/>
    <n v="250958"/>
    <n v="19914"/>
    <n v="4316"/>
    <n v="2505"/>
    <n v="1303"/>
    <n v="101670.82"/>
    <n v="4200194.37"/>
    <s v="Pan India"/>
    <n v="7.9351923429418463"/>
    <n v="5.105494626895652"/>
    <n v="21.673194737370693"/>
    <n v="78.028257866462013"/>
    <n v="41.311699561388409"/>
  </r>
  <r>
    <d v="2025-03-14T00:00:00"/>
    <s v="AD003"/>
    <x v="3"/>
    <x v="3"/>
    <s v="22–27 Age"/>
    <n v="286615"/>
    <n v="14860"/>
    <n v="3405"/>
    <n v="1582"/>
    <n v="809"/>
    <n v="174370.56"/>
    <n v="6056441.3700000001"/>
    <s v="North India"/>
    <n v="5.1846553739336745"/>
    <n v="11.73422341857335"/>
    <n v="22.913862718707943"/>
    <n v="215.53839307787391"/>
    <n v="34.733164646600898"/>
  </r>
  <r>
    <d v="2025-03-15T00:00:00"/>
    <s v="AD003"/>
    <x v="3"/>
    <x v="3"/>
    <s v="17–21 Age"/>
    <n v="184520"/>
    <n v="9112"/>
    <n v="2248"/>
    <n v="1022"/>
    <n v="476"/>
    <n v="93561.23"/>
    <n v="2941652.56"/>
    <s v="North India"/>
    <n v="4.9382180793409924"/>
    <n v="10.267913740122914"/>
    <n v="24.670763827919227"/>
    <n v="196.55720588235295"/>
    <n v="31.440935096727568"/>
  </r>
  <r>
    <d v="2025-03-16T00:00:00"/>
    <s v="AD003"/>
    <x v="3"/>
    <x v="3"/>
    <s v="22–27 Age"/>
    <n v="143329"/>
    <n v="8242"/>
    <n v="2029"/>
    <n v="1135"/>
    <n v="533"/>
    <n v="135105.23000000001"/>
    <n v="2328047.63"/>
    <s v="Pan India"/>
    <n v="5.7504064076355794"/>
    <n v="16.392287066246059"/>
    <n v="24.61781121087115"/>
    <n v="253.48073170731709"/>
    <n v="17.231365728773042"/>
  </r>
  <r>
    <d v="2025-03-17T00:00:00"/>
    <s v="AD003"/>
    <x v="3"/>
    <x v="3"/>
    <s v="17–21 Age"/>
    <n v="265195"/>
    <n v="10327"/>
    <n v="2049"/>
    <n v="1182"/>
    <n v="589"/>
    <n v="179628.87"/>
    <n v="4703747.8"/>
    <s v="South India"/>
    <n v="3.8941156507475627"/>
    <n v="17.39409993221652"/>
    <n v="19.841192989251478"/>
    <n v="304.97261460101868"/>
    <n v="26.185923231605255"/>
  </r>
  <r>
    <d v="2025-03-18T00:00:00"/>
    <s v="AD003"/>
    <x v="3"/>
    <x v="3"/>
    <s v="17–21 Age"/>
    <n v="122661"/>
    <n v="9777"/>
    <n v="2435"/>
    <n v="1113"/>
    <n v="594"/>
    <n v="87088.41"/>
    <n v="4550062.67"/>
    <s v="South India"/>
    <n v="7.9707486487147508"/>
    <n v="8.9074777539122429"/>
    <n v="24.905390201493301"/>
    <n v="146.61348484848486"/>
    <n v="52.246477688592542"/>
  </r>
  <r>
    <d v="2025-03-19T00:00:00"/>
    <s v="AD003"/>
    <x v="3"/>
    <x v="3"/>
    <s v="25–35 Age"/>
    <n v="256063"/>
    <n v="19097"/>
    <n v="2939"/>
    <n v="1547"/>
    <n v="914"/>
    <n v="201254.06"/>
    <n v="5172875.5"/>
    <s v="East India"/>
    <n v="7.4579302749713943"/>
    <n v="10.538517044561972"/>
    <n v="15.389851809184687"/>
    <n v="220.19043763676149"/>
    <n v="25.703210658209827"/>
  </r>
  <r>
    <d v="2025-03-20T00:00:00"/>
    <s v="AD003"/>
    <x v="3"/>
    <x v="3"/>
    <s v="22–27 Age"/>
    <n v="107546"/>
    <n v="4153"/>
    <n v="907"/>
    <n v="465"/>
    <n v="194"/>
    <n v="97757.51"/>
    <n v="602706.81000000006"/>
    <s v="West India"/>
    <n v="3.8616034069142504"/>
    <n v="23.53901035396099"/>
    <n v="21.839633999518419"/>
    <n v="503.90469072164944"/>
    <n v="6.1653248942204044"/>
  </r>
  <r>
    <d v="2025-03-21T00:00:00"/>
    <s v="AD003"/>
    <x v="3"/>
    <x v="3"/>
    <s v="25–35 Age"/>
    <n v="171811"/>
    <n v="7500"/>
    <n v="1283"/>
    <n v="812"/>
    <n v="351"/>
    <n v="97292.61"/>
    <n v="2485360.11"/>
    <s v="Pan India"/>
    <n v="4.3652618284044671"/>
    <n v="12.972348"/>
    <n v="17.106666666666666"/>
    <n v="277.18692307692305"/>
    <n v="25.545209548803346"/>
  </r>
  <r>
    <d v="2025-03-22T00:00:00"/>
    <s v="AD003"/>
    <x v="3"/>
    <x v="3"/>
    <s v="25–35 Age"/>
    <n v="299755"/>
    <n v="10495"/>
    <n v="1933"/>
    <n v="948"/>
    <n v="547"/>
    <n v="136254.79"/>
    <n v="3682668.74"/>
    <s v="East India"/>
    <n v="3.5011926406565363"/>
    <n v="12.98282896617437"/>
    <n v="18.418294425917104"/>
    <n v="249.09468007312617"/>
    <n v="27.02781120575651"/>
  </r>
  <r>
    <d v="2025-03-23T00:00:00"/>
    <s v="AD003"/>
    <x v="3"/>
    <x v="3"/>
    <s v="25–35 Age"/>
    <n v="196757"/>
    <n v="9869"/>
    <n v="2126"/>
    <n v="1008"/>
    <n v="595"/>
    <n v="188439.06"/>
    <n v="4032011.13"/>
    <s v="North India"/>
    <n v="5.0158317111970598"/>
    <n v="19.094037896443407"/>
    <n v="21.542202857432365"/>
    <n v="316.7043025210084"/>
    <n v="21.396896853550427"/>
  </r>
  <r>
    <d v="2025-03-24T00:00:00"/>
    <s v="AD003"/>
    <x v="3"/>
    <x v="3"/>
    <s v="22–27 Age"/>
    <n v="99084"/>
    <n v="7882"/>
    <n v="1585"/>
    <n v="875"/>
    <n v="446"/>
    <n v="56260.32"/>
    <n v="3403228.57"/>
    <s v="Pan India"/>
    <n v="7.9548665778531342"/>
    <n v="7.137822887591982"/>
    <n v="20.109109363105809"/>
    <n v="126.14421524663678"/>
    <n v="60.49074320942362"/>
  </r>
  <r>
    <d v="2025-03-25T00:00:00"/>
    <s v="AD003"/>
    <x v="3"/>
    <x v="3"/>
    <s v="22–27 Age"/>
    <n v="151038"/>
    <n v="4667"/>
    <n v="856"/>
    <n v="417"/>
    <n v="238"/>
    <n v="81008.289999999994"/>
    <n v="1443400.51"/>
    <s v="Pan India"/>
    <n v="3.0899508732901655"/>
    <n v="17.357679451467749"/>
    <n v="18.341547032354832"/>
    <n v="340.37096638655458"/>
    <n v="17.817935793978616"/>
  </r>
  <r>
    <d v="2025-03-26T00:00:00"/>
    <s v="AD003"/>
    <x v="3"/>
    <x v="3"/>
    <s v="22–27 Age"/>
    <n v="261569"/>
    <n v="10863"/>
    <n v="2582"/>
    <n v="1521"/>
    <n v="869"/>
    <n v="245885.34"/>
    <n v="3687397.28"/>
    <s v="Pan India"/>
    <n v="4.1530150744163112"/>
    <n v="22.635122894228115"/>
    <n v="23.768756328822612"/>
    <n v="282.95205983889525"/>
    <n v="14.996409627349072"/>
  </r>
  <r>
    <d v="2025-03-27T00:00:00"/>
    <s v="AD003"/>
    <x v="3"/>
    <x v="3"/>
    <s v="22–27 Age"/>
    <n v="242681"/>
    <n v="16801"/>
    <n v="3043"/>
    <n v="1834"/>
    <n v="1029"/>
    <n v="237908.01"/>
    <n v="7686272.0700000003"/>
    <s v="Pan India"/>
    <n v="6.9230800927967167"/>
    <n v="14.160348193559908"/>
    <n v="18.112017141836795"/>
    <n v="231.20311953352771"/>
    <n v="32.307748150219908"/>
  </r>
  <r>
    <d v="2025-03-28T00:00:00"/>
    <s v="AD003"/>
    <x v="3"/>
    <x v="3"/>
    <s v="17–21 Age"/>
    <n v="141344"/>
    <n v="6626"/>
    <n v="1362"/>
    <n v="827"/>
    <n v="451"/>
    <n v="134141.85"/>
    <n v="1833931.99"/>
    <s v="South India"/>
    <n v="4.6878537468870274"/>
    <n v="20.244770600664051"/>
    <n v="20.555387865982492"/>
    <n v="297.43203991130821"/>
    <n v="13.671587129594529"/>
  </r>
  <r>
    <d v="2025-03-29T00:00:00"/>
    <s v="AD003"/>
    <x v="3"/>
    <x v="3"/>
    <s v="22–27 Age"/>
    <n v="229820"/>
    <n v="11047"/>
    <n v="2019"/>
    <n v="1120"/>
    <n v="565"/>
    <n v="204934.93"/>
    <n v="2057874.91"/>
    <s v="East India"/>
    <n v="4.8068053259072316"/>
    <n v="18.551184031863855"/>
    <n v="18.276455146193538"/>
    <n v="362.7166902654867"/>
    <n v="10.041601546403045"/>
  </r>
  <r>
    <d v="2025-03-30T00:00:00"/>
    <s v="AD003"/>
    <x v="3"/>
    <x v="3"/>
    <s v="25–35 Age"/>
    <n v="67576"/>
    <n v="2896"/>
    <n v="633"/>
    <n v="348"/>
    <n v="156"/>
    <n v="59665.14"/>
    <n v="761451.63"/>
    <s v="North India"/>
    <n v="4.2855451639635378"/>
    <n v="20.602603591160221"/>
    <n v="21.857734806629832"/>
    <n v="382.46884615384613"/>
    <n v="12.762085700293337"/>
  </r>
  <r>
    <d v="2025-03-31T00:00:00"/>
    <s v="AD003"/>
    <x v="3"/>
    <x v="3"/>
    <s v="22–27 Age"/>
    <n v="203412"/>
    <n v="13404"/>
    <n v="3282"/>
    <n v="1607"/>
    <n v="645"/>
    <n v="201828.55"/>
    <n v="2389203.56"/>
    <s v="North India"/>
    <n v="6.5895817355908202"/>
    <n v="15.057337361981498"/>
    <n v="24.485228290062668"/>
    <n v="312.91248062015501"/>
    <n v="11.837787864997297"/>
  </r>
  <r>
    <d v="2025-04-01T00:00:00"/>
    <s v="AD003"/>
    <x v="3"/>
    <x v="3"/>
    <s v="22–27 Age"/>
    <n v="188004"/>
    <n v="6449"/>
    <n v="1209"/>
    <n v="590"/>
    <n v="328"/>
    <n v="130079.38"/>
    <n v="1460235.88"/>
    <s v="West India"/>
    <n v="3.4302461649752134"/>
    <n v="20.170472941541323"/>
    <n v="18.747092572491859"/>
    <n v="396.58347560975614"/>
    <n v="11.225729089422165"/>
  </r>
  <r>
    <d v="2025-04-02T00:00:00"/>
    <s v="AD003"/>
    <x v="3"/>
    <x v="3"/>
    <s v="22–27 Age"/>
    <n v="126338"/>
    <n v="5512"/>
    <n v="1277"/>
    <n v="670"/>
    <n v="387"/>
    <n v="68197.679999999993"/>
    <n v="1772957.17"/>
    <s v="Pan India"/>
    <n v="4.3628995235004515"/>
    <n v="12.372583454281566"/>
    <n v="23.167634252539912"/>
    <n v="176.22139534883718"/>
    <n v="25.997323809255683"/>
  </r>
  <r>
    <d v="2025-04-03T00:00:00"/>
    <s v="AD003"/>
    <x v="3"/>
    <x v="3"/>
    <s v="22–27 Age"/>
    <n v="183191"/>
    <n v="6099"/>
    <n v="1415"/>
    <n v="770"/>
    <n v="397"/>
    <n v="74337.41"/>
    <n v="1467961.39"/>
    <s v="North India"/>
    <n v="3.3293120295211009"/>
    <n v="12.188458763731759"/>
    <n v="23.200524676176425"/>
    <n v="187.24788413098238"/>
    <n v="19.747276505866964"/>
  </r>
  <r>
    <d v="2025-04-04T00:00:00"/>
    <s v="AD003"/>
    <x v="3"/>
    <x v="3"/>
    <s v="22–27 Age"/>
    <n v="84849"/>
    <n v="3217"/>
    <n v="556"/>
    <n v="340"/>
    <n v="176"/>
    <n v="58482.3"/>
    <n v="1379402.49"/>
    <s v="Pan India"/>
    <n v="3.7914412662494548"/>
    <n v="18.179142057817845"/>
    <n v="17.283183089835248"/>
    <n v="332.28579545454545"/>
    <n v="23.586666222087707"/>
  </r>
  <r>
    <d v="2025-04-05T00:00:00"/>
    <s v="AD003"/>
    <x v="3"/>
    <x v="3"/>
    <s v="25–35 Age"/>
    <n v="197504"/>
    <n v="8509"/>
    <n v="1516"/>
    <n v="789"/>
    <n v="455"/>
    <n v="104867.15"/>
    <n v="3305228.65"/>
    <s v="Pan India"/>
    <n v="4.3082671743357093"/>
    <n v="12.324262545540016"/>
    <n v="17.816429662710071"/>
    <n v="230.47725274725275"/>
    <n v="31.518246181001391"/>
  </r>
  <r>
    <d v="2025-04-06T00:00:00"/>
    <s v="AD003"/>
    <x v="3"/>
    <x v="3"/>
    <s v="25–35 Age"/>
    <n v="69154"/>
    <n v="4707"/>
    <n v="1042"/>
    <n v="628"/>
    <n v="284"/>
    <n v="35916.58"/>
    <n v="1254290.1000000001"/>
    <s v="West India"/>
    <n v="6.8065477051219014"/>
    <n v="7.6304610155088168"/>
    <n v="22.137242404928831"/>
    <n v="126.46683098591549"/>
    <n v="34.922314429714632"/>
  </r>
  <r>
    <d v="2025-04-07T00:00:00"/>
    <s v="AD003"/>
    <x v="3"/>
    <x v="3"/>
    <s v="22–27 Age"/>
    <n v="289761"/>
    <n v="22640"/>
    <n v="4750"/>
    <n v="2972"/>
    <n v="1259"/>
    <n v="178162.37"/>
    <n v="4800373.55"/>
    <s v="Pan India"/>
    <n v="7.8133358181397767"/>
    <n v="7.8693626325088335"/>
    <n v="20.980565371024735"/>
    <n v="141.51101667990469"/>
    <n v="26.943812826468349"/>
  </r>
  <r>
    <d v="2025-04-08T00:00:00"/>
    <s v="AD003"/>
    <x v="3"/>
    <x v="3"/>
    <s v="22–27 Age"/>
    <n v="110803"/>
    <n v="4456"/>
    <n v="876"/>
    <n v="468"/>
    <n v="219"/>
    <n v="101061.77"/>
    <n v="951963.17"/>
    <s v="North India"/>
    <n v="4.0215517630389064"/>
    <n v="22.679930430879715"/>
    <n v="19.658886894075405"/>
    <n v="461.4692694063927"/>
    <n v="9.41961703223682"/>
  </r>
  <r>
    <d v="2025-04-09T00:00:00"/>
    <s v="AD003"/>
    <x v="3"/>
    <x v="3"/>
    <s v="22–27 Age"/>
    <n v="239425"/>
    <n v="15902"/>
    <n v="2926"/>
    <n v="1870"/>
    <n v="851"/>
    <n v="148342.78"/>
    <n v="5872468.4800000004"/>
    <s v="North India"/>
    <n v="6.6417458494309285"/>
    <n v="9.328561187272042"/>
    <n v="18.400201232549364"/>
    <n v="174.31584018801411"/>
    <n v="39.587154022595506"/>
  </r>
  <r>
    <d v="2025-04-10T00:00:00"/>
    <s v="AD003"/>
    <x v="3"/>
    <x v="3"/>
    <s v="17–21 Age"/>
    <n v="70240"/>
    <n v="5540"/>
    <n v="925"/>
    <n v="577"/>
    <n v="307"/>
    <n v="40196.1"/>
    <n v="1662472.27"/>
    <s v="South India"/>
    <n v="7.8872437357630982"/>
    <n v="7.2556137184115519"/>
    <n v="16.696750902527079"/>
    <n v="130.93192182410422"/>
    <n v="41.35904403661052"/>
  </r>
  <r>
    <d v="2025-04-11T00:00:00"/>
    <s v="AD003"/>
    <x v="3"/>
    <x v="3"/>
    <s v="25–35 Age"/>
    <n v="138678"/>
    <n v="6834"/>
    <n v="1173"/>
    <n v="590"/>
    <n v="294"/>
    <n v="98499.51"/>
    <n v="1157268.05"/>
    <s v="East India"/>
    <n v="4.9279626184398388"/>
    <n v="14.413156277436347"/>
    <n v="17.164179104477611"/>
    <n v="335.0323469387755"/>
    <n v="11.748972659863995"/>
  </r>
  <r>
    <d v="2025-04-12T00:00:00"/>
    <s v="AD003"/>
    <x v="3"/>
    <x v="3"/>
    <s v="22–27 Age"/>
    <n v="263247"/>
    <n v="19300"/>
    <n v="3627"/>
    <n v="2251"/>
    <n v="1126"/>
    <n v="214028.74"/>
    <n v="8518494.3200000003"/>
    <s v="West India"/>
    <n v="7.3315175481581933"/>
    <n v="11.089572020725388"/>
    <n v="18.792746113989637"/>
    <n v="190.07880994671402"/>
    <n v="39.80070302707945"/>
  </r>
  <r>
    <d v="2025-04-13T00:00:00"/>
    <s v="AD003"/>
    <x v="3"/>
    <x v="3"/>
    <s v="17–21 Age"/>
    <n v="171458"/>
    <n v="10003"/>
    <n v="1964"/>
    <n v="1248"/>
    <n v="648"/>
    <n v="93164.51"/>
    <n v="4778046.8099999996"/>
    <s v="East India"/>
    <n v="5.8340818159549279"/>
    <n v="9.3136569029291199"/>
    <n v="19.63410976706988"/>
    <n v="143.77239197530864"/>
    <n v="51.286126122490202"/>
  </r>
  <r>
    <d v="2025-04-14T00:00:00"/>
    <s v="AD003"/>
    <x v="3"/>
    <x v="3"/>
    <s v="22–27 Age"/>
    <n v="172696"/>
    <n v="13622"/>
    <n v="2087"/>
    <n v="1215"/>
    <n v="682"/>
    <n v="172286.34"/>
    <n v="4380214.3"/>
    <s v="North India"/>
    <n v="7.8878491684810301"/>
    <n v="12.647653795331081"/>
    <n v="15.320804580825136"/>
    <n v="252.61926686217009"/>
    <n v="25.424037100097429"/>
  </r>
  <r>
    <d v="2025-04-15T00:00:00"/>
    <s v="AD003"/>
    <x v="3"/>
    <x v="3"/>
    <s v="17–21 Age"/>
    <n v="254916"/>
    <n v="18774"/>
    <n v="2891"/>
    <n v="1575"/>
    <n v="935"/>
    <n v="166572.54999999999"/>
    <n v="5819811.4400000004"/>
    <s v="Pan India"/>
    <n v="7.3647789860189246"/>
    <n v="8.8725125173111739"/>
    <n v="15.39895600298285"/>
    <n v="178.1524598930481"/>
    <n v="34.938598466554069"/>
  </r>
  <r>
    <d v="2025-04-16T00:00:00"/>
    <s v="AD003"/>
    <x v="3"/>
    <x v="3"/>
    <s v="17–21 Age"/>
    <n v="297311"/>
    <n v="12824"/>
    <n v="2266"/>
    <n v="1065"/>
    <n v="566"/>
    <n v="177196.19"/>
    <n v="4455320.8600000003"/>
    <s v="South India"/>
    <n v="4.3133284674969987"/>
    <n v="13.817544447910169"/>
    <n v="17.669993761696816"/>
    <n v="313.0674734982332"/>
    <n v="25.143434856020324"/>
  </r>
  <r>
    <d v="2025-04-17T00:00:00"/>
    <s v="AD003"/>
    <x v="3"/>
    <x v="3"/>
    <s v="22–27 Age"/>
    <n v="187876"/>
    <n v="14537"/>
    <n v="3326"/>
    <n v="1964"/>
    <n v="1057"/>
    <n v="100656.39"/>
    <n v="4478372.76"/>
    <s v="Pan India"/>
    <n v="7.7375502991334706"/>
    <n v="6.9241514755451607"/>
    <n v="22.879548737703789"/>
    <n v="95.228372753074737"/>
    <n v="44.491688605164562"/>
  </r>
  <r>
    <d v="2025-04-18T00:00:00"/>
    <s v="AD003"/>
    <x v="3"/>
    <x v="3"/>
    <s v="17–21 Age"/>
    <n v="286470"/>
    <n v="17503"/>
    <n v="2821"/>
    <n v="1744"/>
    <n v="734"/>
    <n v="214086.95"/>
    <n v="2364928.66"/>
    <s v="South India"/>
    <n v="6.1098893426885885"/>
    <n v="12.231443181168943"/>
    <n v="16.117237045077985"/>
    <n v="291.67159400544961"/>
    <n v="11.046580186228072"/>
  </r>
  <r>
    <d v="2025-04-19T00:00:00"/>
    <s v="AD003"/>
    <x v="3"/>
    <x v="3"/>
    <s v="22–27 Age"/>
    <n v="162404"/>
    <n v="11970"/>
    <n v="2624"/>
    <n v="1217"/>
    <n v="633"/>
    <n v="107823.72"/>
    <n v="4731468.72"/>
    <s v="Pan India"/>
    <n v="7.3705081155636565"/>
    <n v="9.0078295739348366"/>
    <n v="21.921470342522976"/>
    <n v="170.33763033175356"/>
    <n v="43.881519947558843"/>
  </r>
  <r>
    <d v="2025-04-20T00:00:00"/>
    <s v="AD003"/>
    <x v="3"/>
    <x v="3"/>
    <s v="25–35 Age"/>
    <n v="70773"/>
    <n v="2354"/>
    <n v="502"/>
    <n v="320"/>
    <n v="137"/>
    <n v="37944.949999999997"/>
    <n v="641296.64000000001"/>
    <s v="South India"/>
    <n v="3.3261271953993754"/>
    <n v="16.119350042480882"/>
    <n v="21.325403568394222"/>
    <n v="276.97043795620436"/>
    <n v="16.900711161827861"/>
  </r>
  <r>
    <d v="2025-04-21T00:00:00"/>
    <s v="AD003"/>
    <x v="3"/>
    <x v="3"/>
    <s v="25–35 Age"/>
    <n v="92159"/>
    <n v="7283"/>
    <n v="1706"/>
    <n v="985"/>
    <n v="420"/>
    <n v="83018.34"/>
    <n v="3155986.73"/>
    <s v="West India"/>
    <n v="7.9026465130915042"/>
    <n v="11.39892077440615"/>
    <n v="23.424413016614032"/>
    <n v="197.66271428571429"/>
    <n v="38.015536446524948"/>
  </r>
  <r>
    <d v="2025-04-22T00:00:00"/>
    <s v="AD003"/>
    <x v="3"/>
    <x v="3"/>
    <s v="17–21 Age"/>
    <n v="214210"/>
    <n v="12044"/>
    <n v="2322"/>
    <n v="1116"/>
    <n v="510"/>
    <n v="92410"/>
    <n v="4047072.48"/>
    <s v="East India"/>
    <n v="5.6225199570514919"/>
    <n v="7.6727000996346728"/>
    <n v="19.27930919960146"/>
    <n v="181.19607843137254"/>
    <n v="43.794746023157664"/>
  </r>
  <r>
    <d v="2025-04-23T00:00:00"/>
    <s v="AD003"/>
    <x v="3"/>
    <x v="3"/>
    <s v="17–21 Age"/>
    <n v="89597"/>
    <n v="3957"/>
    <n v="914"/>
    <n v="497"/>
    <n v="220"/>
    <n v="56902.12"/>
    <n v="917613.33"/>
    <s v="East India"/>
    <n v="4.4164425148163442"/>
    <n v="14.380116249684106"/>
    <n v="23.098306798079353"/>
    <n v="258.64600000000002"/>
    <n v="16.126171221740066"/>
  </r>
  <r>
    <d v="2025-04-24T00:00:00"/>
    <s v="AD003"/>
    <x v="3"/>
    <x v="3"/>
    <s v="22–27 Age"/>
    <n v="219815"/>
    <n v="15931"/>
    <n v="2530"/>
    <n v="1544"/>
    <n v="888"/>
    <n v="106057.04"/>
    <n v="6164863.6699999999"/>
    <s v="Pan India"/>
    <n v="7.2474580897572958"/>
    <n v="6.6572744962651429"/>
    <n v="15.880986755382587"/>
    <n v="119.4336036036036"/>
    <n v="58.127811883114973"/>
  </r>
  <r>
    <d v="2025-04-25T00:00:00"/>
    <s v="AD003"/>
    <x v="3"/>
    <x v="3"/>
    <s v="17–21 Age"/>
    <n v="155800"/>
    <n v="6865"/>
    <n v="1272"/>
    <n v="765"/>
    <n v="363"/>
    <n v="69361.47"/>
    <n v="1831892.26"/>
    <s v="East India"/>
    <n v="4.4062901155327339"/>
    <n v="10.103637290604516"/>
    <n v="18.528769118718134"/>
    <n v="191.07842975206611"/>
    <n v="26.41080501898244"/>
  </r>
  <r>
    <d v="2025-04-26T00:00:00"/>
    <s v="AD003"/>
    <x v="3"/>
    <x v="3"/>
    <s v="25–35 Age"/>
    <n v="78865"/>
    <n v="2545"/>
    <n v="595"/>
    <n v="378"/>
    <n v="152"/>
    <n v="70156.08"/>
    <n v="1136108.8700000001"/>
    <s v="Pan India"/>
    <n v="3.227033538324986"/>
    <n v="27.566239685658154"/>
    <n v="23.379174852652259"/>
    <n v="461.55315789473684"/>
    <n v="16.194018679492928"/>
  </r>
  <r>
    <d v="2025-04-27T00:00:00"/>
    <s v="AD003"/>
    <x v="3"/>
    <x v="3"/>
    <s v="25–35 Age"/>
    <n v="106441"/>
    <n v="7731"/>
    <n v="1827"/>
    <n v="1072"/>
    <n v="449"/>
    <n v="93059.67"/>
    <n v="1626663.82"/>
    <s v="Pan India"/>
    <n v="7.2631786623575501"/>
    <n v="12.03720993403182"/>
    <n v="23.632130384167638"/>
    <n v="207.25984409799554"/>
    <n v="17.479793556112977"/>
  </r>
  <r>
    <d v="2025-04-28T00:00:00"/>
    <s v="AD003"/>
    <x v="3"/>
    <x v="3"/>
    <s v="22–27 Age"/>
    <n v="108582"/>
    <n v="6075"/>
    <n v="1445"/>
    <n v="861"/>
    <n v="472"/>
    <n v="61991.73"/>
    <n v="2863429.47"/>
    <s v="South India"/>
    <n v="5.5948499751340002"/>
    <n v="10.2044"/>
    <n v="23.786008230452673"/>
    <n v="131.33841101694915"/>
    <n v="46.190507508017603"/>
  </r>
  <r>
    <d v="2025-04-29T00:00:00"/>
    <s v="AD003"/>
    <x v="3"/>
    <x v="3"/>
    <s v="22–27 Age"/>
    <n v="203313"/>
    <n v="15538"/>
    <n v="2353"/>
    <n v="1144"/>
    <n v="655"/>
    <n v="145045.48000000001"/>
    <n v="4987053.71"/>
    <s v="West India"/>
    <n v="7.6424035846207579"/>
    <n v="9.3348873728922648"/>
    <n v="15.143519114429141"/>
    <n v="221.44348091603055"/>
    <n v="34.382689553648966"/>
  </r>
  <r>
    <d v="2025-04-30T00:00:00"/>
    <s v="AD003"/>
    <x v="3"/>
    <x v="3"/>
    <s v="25–35 Age"/>
    <n v="220384"/>
    <n v="8142"/>
    <n v="1402"/>
    <n v="907"/>
    <n v="369"/>
    <n v="152034.62"/>
    <n v="2102559.65"/>
    <s v="Pan India"/>
    <n v="3.6944605779003923"/>
    <n v="18.672883812331122"/>
    <n v="17.219356423483173"/>
    <n v="412.0179403794038"/>
    <n v="13.829479430408679"/>
  </r>
  <r>
    <d v="2025-05-01T00:00:00"/>
    <s v="AD002"/>
    <x v="4"/>
    <x v="4"/>
    <s v="21–35 Age"/>
    <n v="240139"/>
    <n v="11309"/>
    <n v="1987"/>
    <n v="1165"/>
    <n v="696"/>
    <n v="180456.12"/>
    <n v="4208817.8499999996"/>
    <s v="Pan India"/>
    <n v="4.7093558314143058"/>
    <n v="15.956859138739057"/>
    <n v="17.570076929878859"/>
    <n v="259.27603448275863"/>
    <n v="23.323220348525723"/>
  </r>
  <r>
    <d v="2025-05-01T00:00:00"/>
    <s v="AD003"/>
    <x v="3"/>
    <x v="3"/>
    <s v="22–27 Age"/>
    <n v="289903"/>
    <n v="22942"/>
    <n v="4003"/>
    <n v="2536"/>
    <n v="1136"/>
    <n v="276281.53000000003"/>
    <n v="6468438.0599999996"/>
    <s v="East India"/>
    <n v="7.9136814727684772"/>
    <n v="12.042608752506322"/>
    <n v="17.448348008020226"/>
    <n v="243.20557218309861"/>
    <n v="23.412488196369836"/>
  </r>
  <r>
    <d v="2025-05-02T00:00:00"/>
    <s v="AD002"/>
    <x v="4"/>
    <x v="4"/>
    <s v="21–35 Age"/>
    <n v="145953"/>
    <n v="6934"/>
    <n v="1681"/>
    <n v="974"/>
    <n v="435"/>
    <n v="80170.2"/>
    <n v="2531628.96"/>
    <s v="West India"/>
    <n v="4.750844449925661"/>
    <n v="11.561897894433228"/>
    <n v="24.242861263340064"/>
    <n v="184.29931034482757"/>
    <n v="31.578179423276978"/>
  </r>
  <r>
    <d v="2025-05-02T00:00:00"/>
    <s v="AD003"/>
    <x v="3"/>
    <x v="3"/>
    <s v="17–21 Age"/>
    <n v="224774"/>
    <n v="8087"/>
    <n v="1510"/>
    <n v="927"/>
    <n v="437"/>
    <n v="144246.98000000001"/>
    <n v="2806122.06"/>
    <s v="Pan India"/>
    <n v="3.5978360486533143"/>
    <n v="17.83689625324595"/>
    <n v="18.671942623964387"/>
    <n v="330.08462242562933"/>
    <n v="19.453593135884024"/>
  </r>
  <r>
    <d v="2025-05-03T00:00:00"/>
    <s v="AD002"/>
    <x v="4"/>
    <x v="4"/>
    <s v="21–35 Age"/>
    <n v="125764"/>
    <n v="4601"/>
    <n v="978"/>
    <n v="630"/>
    <n v="302"/>
    <n v="67771.58"/>
    <n v="2349380.39"/>
    <s v="North India"/>
    <n v="3.6584396170605258"/>
    <n v="14.729750054336014"/>
    <n v="21.256248641599651"/>
    <n v="224.40920529801326"/>
    <n v="34.666159325192062"/>
  </r>
  <r>
    <d v="2025-05-03T00:00:00"/>
    <s v="AD003"/>
    <x v="3"/>
    <x v="3"/>
    <s v="22–27 Age"/>
    <n v="283215"/>
    <n v="9156"/>
    <n v="1720"/>
    <n v="956"/>
    <n v="382"/>
    <n v="274488.3"/>
    <n v="1491751.11"/>
    <s v="East India"/>
    <n v="3.2328796144272016"/>
    <n v="29.979062909567496"/>
    <n v="18.785495849716032"/>
    <n v="718.55575916230362"/>
    <n v="5.4346619145515502"/>
  </r>
  <r>
    <d v="2025-05-04T00:00:00"/>
    <s v="AD002"/>
    <x v="4"/>
    <x v="4"/>
    <s v="21–35 Age"/>
    <n v="254360"/>
    <n v="11109"/>
    <n v="2734"/>
    <n v="1480"/>
    <n v="668"/>
    <n v="226644.84"/>
    <n v="2792259.85"/>
    <s v="North India"/>
    <n v="4.3674319861613462"/>
    <n v="20.401911963273022"/>
    <n v="24.610676028445404"/>
    <n v="339.28868263473055"/>
    <n v="12.319979797466381"/>
  </r>
  <r>
    <d v="2025-05-04T00:00:00"/>
    <s v="AD003"/>
    <x v="3"/>
    <x v="3"/>
    <s v="25–35 Age"/>
    <n v="67770"/>
    <n v="4813"/>
    <n v="744"/>
    <n v="355"/>
    <n v="155"/>
    <n v="62523.21"/>
    <n v="1032514.49"/>
    <s v="South India"/>
    <n v="7.1019625202892138"/>
    <n v="12.990486183253688"/>
    <n v="15.458134219821318"/>
    <n v="403.37554838709679"/>
    <n v="16.514099164134407"/>
  </r>
  <r>
    <d v="2025-05-05T00:00:00"/>
    <s v="AD002"/>
    <x v="4"/>
    <x v="4"/>
    <s v="21–35 Age"/>
    <n v="208578"/>
    <n v="12706"/>
    <n v="2381"/>
    <n v="1311"/>
    <n v="655"/>
    <n v="116823.1"/>
    <n v="2987311.77"/>
    <s v="West India"/>
    <n v="6.0917258771298988"/>
    <n v="9.1943255155044863"/>
    <n v="18.739178340941287"/>
    <n v="178.35587786259543"/>
    <n v="25.57124207455546"/>
  </r>
  <r>
    <d v="2025-05-05T00:00:00"/>
    <s v="AD003"/>
    <x v="3"/>
    <x v="3"/>
    <s v="22–27 Age"/>
    <n v="104892"/>
    <n v="8197"/>
    <n v="1255"/>
    <n v="616"/>
    <n v="347"/>
    <n v="51518.58"/>
    <n v="2149275.48"/>
    <s v="East India"/>
    <n v="7.8147046485909311"/>
    <n v="6.2850530681956815"/>
    <n v="15.310479443698915"/>
    <n v="148.46853025936599"/>
    <n v="41.718453420105909"/>
  </r>
  <r>
    <d v="2025-05-06T00:00:00"/>
    <s v="AD002"/>
    <x v="4"/>
    <x v="4"/>
    <s v="21–35 Age"/>
    <n v="174201"/>
    <n v="12488"/>
    <n v="2889"/>
    <n v="1838"/>
    <n v="796"/>
    <n v="133968.34"/>
    <n v="4993434.2300000004"/>
    <s v="West India"/>
    <n v="7.16873037468212"/>
    <n v="10.727765855221012"/>
    <n v="23.134208840486867"/>
    <n v="168.30193467336682"/>
    <n v="37.273241050833356"/>
  </r>
  <r>
    <d v="2025-05-06T00:00:00"/>
    <s v="AD003"/>
    <x v="3"/>
    <x v="3"/>
    <s v="22–27 Age"/>
    <n v="204932"/>
    <n v="9551"/>
    <n v="2028"/>
    <n v="1175"/>
    <n v="688"/>
    <n v="119604.48"/>
    <n v="2530463.62"/>
    <s v="South India"/>
    <n v="4.6605703355259305"/>
    <n v="12.522718039995812"/>
    <n v="21.23337870380065"/>
    <n v="173.84372093023256"/>
    <n v="21.156930074860075"/>
  </r>
  <r>
    <d v="2025-05-07T00:00:00"/>
    <s v="AD002"/>
    <x v="4"/>
    <x v="4"/>
    <s v="21–35 Age"/>
    <n v="281251"/>
    <n v="18428"/>
    <n v="4606"/>
    <n v="2913"/>
    <n v="1585"/>
    <n v="223349.7"/>
    <n v="7253636.4699999997"/>
    <s v="Pan India"/>
    <n v="6.5521544812285111"/>
    <n v="12.120126980681572"/>
    <n v="24.994573475146517"/>
    <n v="140.91463722397478"/>
    <n v="32.476589267861115"/>
  </r>
  <r>
    <d v="2025-05-07T00:00:00"/>
    <s v="AD003"/>
    <x v="3"/>
    <x v="3"/>
    <s v="22–27 Age"/>
    <n v="126647"/>
    <n v="7408"/>
    <n v="1738"/>
    <n v="883"/>
    <n v="464"/>
    <n v="97271.17"/>
    <n v="1785615.46"/>
    <s v="Pan India"/>
    <n v="5.8493292379606308"/>
    <n v="13.130557505399567"/>
    <n v="23.461123110151188"/>
    <n v="209.6361422413793"/>
    <n v="18.357088333573042"/>
  </r>
  <r>
    <d v="2025-05-08T00:00:00"/>
    <s v="AD002"/>
    <x v="4"/>
    <x v="4"/>
    <s v="21–35 Age"/>
    <n v="97979"/>
    <n v="3175"/>
    <n v="583"/>
    <n v="301"/>
    <n v="168"/>
    <n v="58564.33"/>
    <n v="529563.73"/>
    <s v="East India"/>
    <n v="3.2404903091478787"/>
    <n v="18.445458267716536"/>
    <n v="18.362204724409448"/>
    <n v="348.59720238095241"/>
    <n v="9.0424278737586512"/>
  </r>
  <r>
    <d v="2025-05-08T00:00:00"/>
    <s v="AD003"/>
    <x v="3"/>
    <x v="3"/>
    <s v="25–35 Age"/>
    <n v="154994"/>
    <n v="5796"/>
    <n v="1347"/>
    <n v="863"/>
    <n v="431"/>
    <n v="121038.69"/>
    <n v="2196417.2200000002"/>
    <s v="South India"/>
    <n v="3.7394995935326532"/>
    <n v="20.883141821946172"/>
    <n v="23.240165631469981"/>
    <n v="280.83222737819028"/>
    <n v="18.14640607891576"/>
  </r>
  <r>
    <d v="2025-05-09T00:00:00"/>
    <s v="AD002"/>
    <x v="4"/>
    <x v="4"/>
    <s v="21–35 Age"/>
    <n v="258980"/>
    <n v="19662"/>
    <n v="3598"/>
    <n v="1763"/>
    <n v="758"/>
    <n v="228071.85"/>
    <n v="4909073.6100000003"/>
    <s v="North India"/>
    <n v="7.5920920534404202"/>
    <n v="11.599626182483979"/>
    <n v="18.299257450920557"/>
    <n v="300.88634564643803"/>
    <n v="21.524241637010444"/>
  </r>
  <r>
    <d v="2025-05-09T00:00:00"/>
    <s v="AD003"/>
    <x v="3"/>
    <x v="3"/>
    <s v="22–27 Age"/>
    <n v="108431"/>
    <n v="6177"/>
    <n v="1134"/>
    <n v="595"/>
    <n v="240"/>
    <n v="100523.61"/>
    <n v="897404.11"/>
    <s v="East India"/>
    <n v="5.6967103503610588"/>
    <n v="16.273856240893636"/>
    <n v="18.358426420592522"/>
    <n v="418.84837499999998"/>
    <n v="8.9272968808024302"/>
  </r>
  <r>
    <d v="2025-05-10T00:00:00"/>
    <s v="AD002"/>
    <x v="4"/>
    <x v="4"/>
    <s v="21–35 Age"/>
    <n v="51259"/>
    <n v="3592"/>
    <n v="541"/>
    <n v="312"/>
    <n v="131"/>
    <n v="24423.78"/>
    <n v="722680.3"/>
    <s v="Pan India"/>
    <n v="7.0075498936772078"/>
    <n v="6.7994933184855233"/>
    <n v="15.061247216035634"/>
    <n v="186.44106870229007"/>
    <n v="29.58920773115382"/>
  </r>
  <r>
    <d v="2025-05-10T00:00:00"/>
    <s v="AD003"/>
    <x v="3"/>
    <x v="3"/>
    <s v="22–27 Age"/>
    <n v="128908"/>
    <n v="5068"/>
    <n v="994"/>
    <n v="535"/>
    <n v="273"/>
    <n v="101891.88"/>
    <n v="1320648.3600000001"/>
    <s v="Pan India"/>
    <n v="3.9314860210382601"/>
    <n v="20.10494869771113"/>
    <n v="19.613259668508288"/>
    <n v="373.2303296703297"/>
    <n v="12.961271889379214"/>
  </r>
  <r>
    <d v="2025-05-11T00:00:00"/>
    <s v="AD002"/>
    <x v="4"/>
    <x v="4"/>
    <s v="21–35 Age"/>
    <n v="107884"/>
    <n v="5598"/>
    <n v="1238"/>
    <n v="596"/>
    <n v="240"/>
    <n v="51643.69"/>
    <n v="862353.37"/>
    <s v="South India"/>
    <n v="5.1889066033888254"/>
    <n v="9.2253822793854958"/>
    <n v="22.115041086102181"/>
    <n v="215.18204166666666"/>
    <n v="16.698136209864167"/>
  </r>
  <r>
    <d v="2025-05-11T00:00:00"/>
    <s v="AD003"/>
    <x v="3"/>
    <x v="3"/>
    <s v="22–27 Age"/>
    <n v="281759"/>
    <n v="18036"/>
    <n v="3182"/>
    <n v="2035"/>
    <n v="1042"/>
    <n v="149263.62"/>
    <n v="7035403.1900000004"/>
    <s v="Pan India"/>
    <n v="6.4012152229387524"/>
    <n v="8.2758715901530273"/>
    <n v="17.642492792193391"/>
    <n v="143.24723608445296"/>
    <n v="47.134078551759636"/>
  </r>
  <r>
    <d v="2025-05-12T00:00:00"/>
    <s v="AD002"/>
    <x v="4"/>
    <x v="4"/>
    <s v="21–35 Age"/>
    <n v="109219"/>
    <n v="6309"/>
    <n v="1002"/>
    <n v="621"/>
    <n v="302"/>
    <n v="80141.73"/>
    <n v="1535750.35"/>
    <s v="Pan India"/>
    <n v="5.7764674644521552"/>
    <n v="12.702762719923918"/>
    <n v="15.882073228720875"/>
    <n v="265.36996688741721"/>
    <n v="19.16292984940555"/>
  </r>
  <r>
    <d v="2025-05-12T00:00:00"/>
    <s v="AD003"/>
    <x v="3"/>
    <x v="3"/>
    <s v="17–21 Age"/>
    <n v="56655"/>
    <n v="3075"/>
    <n v="664"/>
    <n v="314"/>
    <n v="152"/>
    <n v="22689.88"/>
    <n v="1129547.78"/>
    <s v="Pan India"/>
    <n v="5.4275880328302879"/>
    <n v="7.3788227642276425"/>
    <n v="21.59349593495935"/>
    <n v="149.27552631578948"/>
    <n v="49.782007661565416"/>
  </r>
  <r>
    <d v="2025-05-13T00:00:00"/>
    <s v="AD002"/>
    <x v="4"/>
    <x v="4"/>
    <s v="21–35 Age"/>
    <n v="127468"/>
    <n v="5926"/>
    <n v="1247"/>
    <n v="622"/>
    <n v="336"/>
    <n v="101926.37"/>
    <n v="1859496.88"/>
    <s v="North India"/>
    <n v="4.6490099475946911"/>
    <n v="17.199859939250757"/>
    <n v="21.042861964225448"/>
    <n v="303.35229166666664"/>
    <n v="18.243530893918816"/>
  </r>
  <r>
    <d v="2025-05-13T00:00:00"/>
    <s v="AD003"/>
    <x v="3"/>
    <x v="3"/>
    <s v="22–27 Age"/>
    <n v="263989"/>
    <n v="20499"/>
    <n v="4960"/>
    <n v="3112"/>
    <n v="1581"/>
    <n v="241710.75"/>
    <n v="10422582.66"/>
    <s v="East India"/>
    <n v="7.7650962729507667"/>
    <n v="11.791343480169765"/>
    <n v="24.196302258646764"/>
    <n v="152.884724857685"/>
    <n v="43.120062554106511"/>
  </r>
  <r>
    <d v="2025-05-14T00:00:00"/>
    <s v="AD002"/>
    <x v="4"/>
    <x v="4"/>
    <s v="21–35 Age"/>
    <n v="216556"/>
    <n v="14437"/>
    <n v="2858"/>
    <n v="1623"/>
    <n v="754"/>
    <n v="187567.69"/>
    <n v="2602263.33"/>
    <s v="North India"/>
    <n v="6.6666358817118896"/>
    <n v="12.992151416499272"/>
    <n v="19.796356583777794"/>
    <n v="248.76351458885941"/>
    <n v="13.873729158790621"/>
  </r>
  <r>
    <d v="2025-05-14T00:00:00"/>
    <s v="AD003"/>
    <x v="3"/>
    <x v="3"/>
    <s v="25–35 Age"/>
    <n v="176419"/>
    <n v="6312"/>
    <n v="1409"/>
    <n v="877"/>
    <n v="517"/>
    <n v="156086.32"/>
    <n v="3922073.17"/>
    <s v="North India"/>
    <n v="3.5778459236250066"/>
    <n v="24.728504435994932"/>
    <n v="22.322560202788338"/>
    <n v="301.90777562862672"/>
    <n v="25.127590745941092"/>
  </r>
  <r>
    <d v="2025-05-15T00:00:00"/>
    <s v="AD002"/>
    <x v="4"/>
    <x v="4"/>
    <s v="21–35 Age"/>
    <n v="104288"/>
    <n v="4814"/>
    <n v="768"/>
    <n v="360"/>
    <n v="179"/>
    <n v="86527.19"/>
    <n v="937902.93"/>
    <s v="West India"/>
    <n v="4.6160632095734888"/>
    <n v="17.974073535521395"/>
    <n v="15.953469048608227"/>
    <n v="483.39212290502792"/>
    <n v="10.839401233300192"/>
  </r>
  <r>
    <d v="2025-05-15T00:00:00"/>
    <s v="AD003"/>
    <x v="3"/>
    <x v="3"/>
    <s v="25–35 Age"/>
    <n v="246319"/>
    <n v="18568"/>
    <n v="2933"/>
    <n v="1874"/>
    <n v="956"/>
    <n v="223803.59"/>
    <n v="5348861.97"/>
    <s v="Pan India"/>
    <n v="7.5381923440741474"/>
    <n v="12.053187742352435"/>
    <n v="15.795993106419647"/>
    <n v="234.10417364016737"/>
    <n v="23.899804154169285"/>
  </r>
  <r>
    <d v="2025-05-16T00:00:00"/>
    <s v="AD002"/>
    <x v="4"/>
    <x v="4"/>
    <s v="21–35 Age"/>
    <n v="272620"/>
    <n v="19195"/>
    <n v="3980"/>
    <n v="1800"/>
    <n v="723"/>
    <n v="190013.67"/>
    <n v="4634332.3600000003"/>
    <s v="East India"/>
    <n v="7.0409361015332701"/>
    <n v="9.8991232091690549"/>
    <n v="20.734566293305548"/>
    <n v="262.8128215767635"/>
    <n v="24.389468189315011"/>
  </r>
  <r>
    <d v="2025-05-16T00:00:00"/>
    <s v="AD003"/>
    <x v="3"/>
    <x v="3"/>
    <s v="17–21 Age"/>
    <n v="135416"/>
    <n v="9754"/>
    <n v="1804"/>
    <n v="831"/>
    <n v="444"/>
    <n v="111777.17"/>
    <n v="2526118.0699999998"/>
    <s v="West India"/>
    <n v="7.2029893070242812"/>
    <n v="11.459623744104983"/>
    <n v="18.494976419930286"/>
    <n v="251.75038288288289"/>
    <n v="22.599588717445609"/>
  </r>
  <r>
    <d v="2025-05-17T00:00:00"/>
    <s v="AD002"/>
    <x v="4"/>
    <x v="4"/>
    <s v="21–35 Age"/>
    <n v="205846"/>
    <n v="16047"/>
    <n v="2839"/>
    <n v="1461"/>
    <n v="602"/>
    <n v="109111.63"/>
    <n v="3266642.53"/>
    <s v="Pan India"/>
    <n v="7.795633629023639"/>
    <n v="6.799503333956503"/>
    <n v="17.691780395089424"/>
    <n v="181.24855481727576"/>
    <n v="29.938536616124235"/>
  </r>
  <r>
    <d v="2025-05-17T00:00:00"/>
    <s v="AD003"/>
    <x v="3"/>
    <x v="3"/>
    <s v="17–21 Age"/>
    <n v="277369"/>
    <n v="9937"/>
    <n v="2473"/>
    <n v="1558"/>
    <n v="780"/>
    <n v="197982.71"/>
    <n v="4085031.86"/>
    <s v="West India"/>
    <n v="3.5825921425970457"/>
    <n v="19.923790882560127"/>
    <n v="24.886786756566366"/>
    <n v="253.82398717948718"/>
    <n v="20.633275804740727"/>
  </r>
  <r>
    <d v="2025-05-18T00:00:00"/>
    <s v="AD002"/>
    <x v="4"/>
    <x v="4"/>
    <s v="21–35 Age"/>
    <n v="73028"/>
    <n v="3043"/>
    <n v="537"/>
    <n v="345"/>
    <n v="157"/>
    <n v="45541.08"/>
    <n v="698667.79"/>
    <s v="North India"/>
    <n v="4.166894889631374"/>
    <n v="14.965849490634243"/>
    <n v="17.647058823529413"/>
    <n v="290.07057324840764"/>
    <n v="15.341484874754837"/>
  </r>
  <r>
    <d v="2025-05-18T00:00:00"/>
    <s v="AD003"/>
    <x v="3"/>
    <x v="3"/>
    <s v="17–21 Age"/>
    <n v="154431"/>
    <n v="8758"/>
    <n v="1526"/>
    <n v="770"/>
    <n v="401"/>
    <n v="67378.69"/>
    <n v="3182834.15"/>
    <s v="South India"/>
    <n v="5.6711411568920749"/>
    <n v="7.6933877597625031"/>
    <n v="17.424069422242521"/>
    <n v="168.02665835411472"/>
    <n v="47.237993941407879"/>
  </r>
  <r>
    <d v="2025-05-19T00:00:00"/>
    <s v="AD002"/>
    <x v="4"/>
    <x v="4"/>
    <s v="21–35 Age"/>
    <n v="129271"/>
    <n v="8596"/>
    <n v="1731"/>
    <n v="909"/>
    <n v="413"/>
    <n v="61223.519999999997"/>
    <n v="3212616.4"/>
    <s v="East India"/>
    <n v="6.6495965839206015"/>
    <n v="7.122326663564448"/>
    <n v="20.137273150302466"/>
    <n v="148.24096852300241"/>
    <n v="52.473565714614253"/>
  </r>
  <r>
    <d v="2025-05-19T00:00:00"/>
    <s v="AD003"/>
    <x v="3"/>
    <x v="3"/>
    <s v="25–35 Age"/>
    <n v="294707"/>
    <n v="9304"/>
    <n v="1777"/>
    <n v="925"/>
    <n v="464"/>
    <n v="171711.35"/>
    <n v="1435655.76"/>
    <s v="Pan India"/>
    <n v="3.157033935400245"/>
    <n v="18.455648108340501"/>
    <n v="19.099312123817715"/>
    <n v="370.06756465517242"/>
    <n v="8.3608670015115489"/>
  </r>
  <r>
    <d v="2025-05-20T00:00:00"/>
    <s v="AD002"/>
    <x v="4"/>
    <x v="4"/>
    <s v="21–35 Age"/>
    <n v="163842"/>
    <n v="7426"/>
    <n v="1233"/>
    <n v="778"/>
    <n v="374"/>
    <n v="74194.66"/>
    <n v="2531863.85"/>
    <s v="North India"/>
    <n v="4.5324153757888697"/>
    <n v="9.9912011850255862"/>
    <n v="16.603824400754107"/>
    <n v="198.3814438502674"/>
    <n v="34.124610180840506"/>
  </r>
  <r>
    <d v="2025-05-20T00:00:00"/>
    <s v="AD003"/>
    <x v="3"/>
    <x v="3"/>
    <s v="25–35 Age"/>
    <n v="170906"/>
    <n v="10548"/>
    <n v="1817"/>
    <n v="1173"/>
    <n v="608"/>
    <n v="123281.41"/>
    <n v="2911291.7"/>
    <s v="Pan India"/>
    <n v="6.1718137455677393"/>
    <n v="11.68765737580584"/>
    <n v="17.226014410314754"/>
    <n v="202.76547697368423"/>
    <n v="23.615009756945511"/>
  </r>
  <r>
    <d v="2025-05-21T00:00:00"/>
    <s v="AD002"/>
    <x v="4"/>
    <x v="4"/>
    <s v="21–35 Age"/>
    <n v="61054"/>
    <n v="3895"/>
    <n v="951"/>
    <n v="543"/>
    <n v="240"/>
    <n v="25073.99"/>
    <n v="1266941.77"/>
    <s v="Pan India"/>
    <n v="6.3795983883119858"/>
    <n v="6.437481386392812"/>
    <n v="24.415917843388961"/>
    <n v="104.47495833333333"/>
    <n v="50.52812775310192"/>
  </r>
  <r>
    <d v="2025-05-21T00:00:00"/>
    <s v="AD003"/>
    <x v="3"/>
    <x v="3"/>
    <s v="22–27 Age"/>
    <n v="121352"/>
    <n v="4064"/>
    <n v="696"/>
    <n v="357"/>
    <n v="180"/>
    <n v="54958.71"/>
    <n v="941034.3"/>
    <s v="South India"/>
    <n v="3.3489353286307604"/>
    <n v="13.523304625984252"/>
    <n v="17.125984251968504"/>
    <n v="305.32616666666667"/>
    <n v="17.122568924925641"/>
  </r>
  <r>
    <d v="2025-05-22T00:00:00"/>
    <s v="AD002"/>
    <x v="4"/>
    <x v="4"/>
    <s v="21–35 Age"/>
    <n v="109881"/>
    <n v="4764"/>
    <n v="991"/>
    <n v="450"/>
    <n v="232"/>
    <n v="99134.91"/>
    <n v="1580447.82"/>
    <s v="North India"/>
    <n v="4.3355994211920175"/>
    <n v="20.809175062972294"/>
    <n v="20.801847187237616"/>
    <n v="427.30564655172418"/>
    <n v="15.942394258490777"/>
  </r>
  <r>
    <d v="2025-05-22T00:00:00"/>
    <s v="AD003"/>
    <x v="3"/>
    <x v="3"/>
    <s v="17–21 Age"/>
    <n v="228338"/>
    <n v="16682"/>
    <n v="2885"/>
    <n v="1390"/>
    <n v="593"/>
    <n v="202855.34"/>
    <n v="4698879.46"/>
    <s v="Pan India"/>
    <n v="7.3058360851019106"/>
    <n v="12.160133077568636"/>
    <n v="17.2940894377173"/>
    <n v="342.08320404721752"/>
    <n v="23.163696159046147"/>
  </r>
  <r>
    <d v="2025-05-23T00:00:00"/>
    <s v="AD002"/>
    <x v="4"/>
    <x v="4"/>
    <s v="21–35 Age"/>
    <n v="138950"/>
    <n v="8247"/>
    <n v="1433"/>
    <n v="743"/>
    <n v="371"/>
    <n v="87585.26"/>
    <n v="2275198.2599999998"/>
    <s v="East India"/>
    <n v="5.935228499460238"/>
    <n v="10.620257063174487"/>
    <n v="17.376015520795441"/>
    <n v="236.07886792452828"/>
    <n v="25.97695388470617"/>
  </r>
  <r>
    <d v="2025-05-23T00:00:00"/>
    <s v="AD003"/>
    <x v="3"/>
    <x v="3"/>
    <s v="25–35 Age"/>
    <n v="81571"/>
    <n v="6335"/>
    <n v="1288"/>
    <n v="609"/>
    <n v="288"/>
    <n v="69379.64"/>
    <n v="1003969.21"/>
    <s v="North India"/>
    <n v="7.7662404531022053"/>
    <n v="10.951797947908444"/>
    <n v="20.331491712707184"/>
    <n v="240.90152777777777"/>
    <n v="14.470660412766627"/>
  </r>
  <r>
    <d v="2025-05-24T00:00:00"/>
    <s v="AD002"/>
    <x v="4"/>
    <x v="4"/>
    <s v="21–35 Age"/>
    <n v="261935"/>
    <n v="11611"/>
    <n v="1967"/>
    <n v="1027"/>
    <n v="604"/>
    <n v="209519.18"/>
    <n v="3096991.33"/>
    <s v="North India"/>
    <n v="4.4327791245919794"/>
    <n v="18.044886745327705"/>
    <n v="16.94083196968392"/>
    <n v="346.88605960264897"/>
    <n v="14.781421586319688"/>
  </r>
  <r>
    <d v="2025-05-24T00:00:00"/>
    <s v="AD003"/>
    <x v="3"/>
    <x v="3"/>
    <s v="22–27 Age"/>
    <n v="107849"/>
    <n v="6825"/>
    <n v="1489"/>
    <n v="749"/>
    <n v="394"/>
    <n v="81201.03"/>
    <n v="1255931.71"/>
    <s v="Pan India"/>
    <n v="6.3282923346530797"/>
    <n v="11.897586813186813"/>
    <n v="21.816849816849818"/>
    <n v="206.09398477157359"/>
    <n v="15.466943091731718"/>
  </r>
  <r>
    <d v="2025-05-25T00:00:00"/>
    <s v="AD002"/>
    <x v="4"/>
    <x v="4"/>
    <s v="21–35 Age"/>
    <n v="199889"/>
    <n v="7676"/>
    <n v="1181"/>
    <n v="628"/>
    <n v="295"/>
    <n v="160449.25"/>
    <n v="1422894.37"/>
    <s v="East India"/>
    <n v="3.8401312728564356"/>
    <n v="20.902716258467951"/>
    <n v="15.385617509119335"/>
    <n v="543.89576271186445"/>
    <n v="8.8681895988918615"/>
  </r>
  <r>
    <d v="2025-05-25T00:00:00"/>
    <s v="AD003"/>
    <x v="3"/>
    <x v="3"/>
    <s v="17–21 Age"/>
    <n v="221701"/>
    <n v="9472"/>
    <n v="2148"/>
    <n v="1063"/>
    <n v="587"/>
    <n v="167627.5"/>
    <n v="3363822.07"/>
    <s v="North India"/>
    <n v="4.2724209633695835"/>
    <n v="17.697160050675677"/>
    <n v="22.677364864864867"/>
    <n v="285.56643952299828"/>
    <n v="20.067244753993229"/>
  </r>
  <r>
    <d v="2025-05-26T00:00:00"/>
    <s v="AD002"/>
    <x v="4"/>
    <x v="4"/>
    <s v="21–35 Age"/>
    <n v="95432"/>
    <n v="7312"/>
    <n v="1525"/>
    <n v="799"/>
    <n v="461"/>
    <n v="75781.679999999993"/>
    <n v="2142553.8199999998"/>
    <s v="Pan India"/>
    <n v="7.6620001676586478"/>
    <n v="10.36401531728665"/>
    <n v="20.85612691466083"/>
    <n v="164.3854229934924"/>
    <n v="28.272714724719748"/>
  </r>
  <r>
    <d v="2025-05-26T00:00:00"/>
    <s v="AD003"/>
    <x v="3"/>
    <x v="3"/>
    <s v="25–35 Age"/>
    <n v="258060"/>
    <n v="19102"/>
    <n v="4745"/>
    <n v="2505"/>
    <n v="1316"/>
    <n v="149089.16"/>
    <n v="8726521.3499999996"/>
    <s v="Pan India"/>
    <n v="7.4021545377044102"/>
    <n v="7.8048979164485397"/>
    <n v="24.84033085540781"/>
    <n v="113.28963525835867"/>
    <n v="58.532232323262129"/>
  </r>
  <r>
    <d v="2025-05-27T00:00:00"/>
    <s v="AD002"/>
    <x v="4"/>
    <x v="4"/>
    <s v="21–35 Age"/>
    <n v="161958"/>
    <n v="8826"/>
    <n v="1937"/>
    <n v="906"/>
    <n v="520"/>
    <n v="70025.64"/>
    <n v="3944515.61"/>
    <s v="North India"/>
    <n v="5.4495609972955954"/>
    <n v="7.9340176750509857"/>
    <n v="21.946521640607298"/>
    <n v="134.66469230769232"/>
    <n v="56.329590275790409"/>
  </r>
  <r>
    <d v="2025-05-27T00:00:00"/>
    <s v="AD003"/>
    <x v="3"/>
    <x v="3"/>
    <s v="22–27 Age"/>
    <n v="298878"/>
    <n v="16202"/>
    <n v="3092"/>
    <n v="1903"/>
    <n v="1055"/>
    <n v="156885.57999999999"/>
    <n v="7149953.9800000004"/>
    <s v="West India"/>
    <n v="5.4209409859541351"/>
    <n v="9.6830996173311927"/>
    <n v="19.084063695840019"/>
    <n v="148.70671090047392"/>
    <n v="45.574322254473614"/>
  </r>
  <r>
    <d v="2025-05-28T00:00:00"/>
    <s v="AD002"/>
    <x v="4"/>
    <x v="4"/>
    <s v="21–35 Age"/>
    <n v="107903"/>
    <n v="3524"/>
    <n v="729"/>
    <n v="457"/>
    <n v="206"/>
    <n v="103430.57"/>
    <n v="1353200.37"/>
    <s v="West India"/>
    <n v="3.2658962216064431"/>
    <n v="29.350332009080592"/>
    <n v="20.686719636776392"/>
    <n v="502.09014563106797"/>
    <n v="13.083176182824864"/>
  </r>
  <r>
    <d v="2025-05-28T00:00:00"/>
    <s v="AD003"/>
    <x v="3"/>
    <x v="3"/>
    <s v="22–27 Age"/>
    <n v="173020"/>
    <n v="10599"/>
    <n v="1880"/>
    <n v="1217"/>
    <n v="720"/>
    <n v="77910.38"/>
    <n v="3240631.4"/>
    <s v="North India"/>
    <n v="6.1258814009941052"/>
    <n v="7.3507293140862346"/>
    <n v="17.737522407774318"/>
    <n v="108.20886111111112"/>
    <n v="41.594347248723466"/>
  </r>
  <r>
    <d v="2025-05-29T00:00:00"/>
    <s v="AD002"/>
    <x v="4"/>
    <x v="4"/>
    <s v="21–35 Age"/>
    <n v="208326"/>
    <n v="16547"/>
    <n v="2535"/>
    <n v="1311"/>
    <n v="579"/>
    <n v="128714.62"/>
    <n v="2105892.5099999998"/>
    <s v="West India"/>
    <n v="7.9428395879534959"/>
    <n v="7.7787284704175983"/>
    <n v="15.31999758264338"/>
    <n v="222.30504317789291"/>
    <n v="16.360942603101339"/>
  </r>
  <r>
    <d v="2025-05-29T00:00:00"/>
    <s v="AD003"/>
    <x v="3"/>
    <x v="3"/>
    <s v="17–21 Age"/>
    <n v="254367"/>
    <n v="11373"/>
    <n v="2455"/>
    <n v="1286"/>
    <n v="523"/>
    <n v="144783.34"/>
    <n v="3534997.28"/>
    <s v="Pan India"/>
    <n v="4.4710988453690925"/>
    <n v="12.730444034115887"/>
    <n v="21.58621296052053"/>
    <n v="276.83239005736135"/>
    <n v="24.415773803809195"/>
  </r>
  <r>
    <d v="2025-05-30T00:00:00"/>
    <s v="AD002"/>
    <x v="4"/>
    <x v="4"/>
    <s v="21–35 Age"/>
    <n v="221642"/>
    <n v="16515"/>
    <n v="3805"/>
    <n v="2059"/>
    <n v="1044"/>
    <n v="213043.67"/>
    <n v="5794495.5199999996"/>
    <s v="East India"/>
    <n v="7.45120509650698"/>
    <n v="12.90001029367242"/>
    <n v="23.039660914320315"/>
    <n v="204.06481800766284"/>
    <n v="27.198627962051155"/>
  </r>
  <r>
    <d v="2025-05-30T00:00:00"/>
    <s v="AD003"/>
    <x v="3"/>
    <x v="3"/>
    <s v="22–27 Age"/>
    <n v="171248"/>
    <n v="12218"/>
    <n v="1850"/>
    <n v="1118"/>
    <n v="623"/>
    <n v="161173.5"/>
    <n v="4380151.08"/>
    <s v="West India"/>
    <n v="7.1346818648976917"/>
    <n v="13.191479783925356"/>
    <n v="15.141594368963823"/>
    <n v="258.70545746388444"/>
    <n v="27.176620722389227"/>
  </r>
  <r>
    <d v="2025-05-31T00:00:00"/>
    <s v="AD002"/>
    <x v="4"/>
    <x v="4"/>
    <s v="21–35 Age"/>
    <n v="172441"/>
    <n v="10888"/>
    <n v="1929"/>
    <n v="985"/>
    <n v="439"/>
    <n v="111414.3"/>
    <n v="2807015.16"/>
    <s v="Pan India"/>
    <n v="6.3140436439129903"/>
    <n v="10.232760837619399"/>
    <n v="17.716752387950034"/>
    <n v="253.79111617312074"/>
    <n v="25.194388512067125"/>
  </r>
  <r>
    <d v="2025-05-31T00:00:00"/>
    <s v="AD003"/>
    <x v="3"/>
    <x v="3"/>
    <s v="22–27 Age"/>
    <n v="79898"/>
    <n v="3387"/>
    <n v="708"/>
    <n v="348"/>
    <n v="144"/>
    <n v="46053.63"/>
    <n v="664446.17000000004"/>
    <s v="North India"/>
    <n v="4.2391549225262208"/>
    <n v="13.597174490699734"/>
    <n v="20.903454384410981"/>
    <n v="319.81687499999998"/>
    <n v="14.427661185448358"/>
  </r>
  <r>
    <d v="2025-06-01T00:00:00"/>
    <s v="AD002"/>
    <x v="4"/>
    <x v="4"/>
    <s v="21–35 Age"/>
    <n v="179655"/>
    <n v="5969"/>
    <n v="1158"/>
    <n v="725"/>
    <n v="292"/>
    <n v="107637.78"/>
    <n v="1673092.65"/>
    <s v="East India"/>
    <n v="3.3224791962372322"/>
    <n v="18.032799463896801"/>
    <n v="19.400234545149942"/>
    <n v="368.62253424657536"/>
    <n v="15.54373055631582"/>
  </r>
  <r>
    <d v="2025-06-02T00:00:00"/>
    <s v="AD002"/>
    <x v="4"/>
    <x v="4"/>
    <s v="21–35 Age"/>
    <n v="112007"/>
    <n v="7687"/>
    <n v="1249"/>
    <n v="590"/>
    <n v="333"/>
    <n v="69690.34"/>
    <n v="1849660.24"/>
    <s v="Pan India"/>
    <n v="6.8629639218977383"/>
    <n v="9.0659997398204748"/>
    <n v="16.248211265773381"/>
    <n v="209.2803003003003"/>
    <n v="26.541128081739881"/>
  </r>
  <r>
    <d v="2025-06-03T00:00:00"/>
    <s v="AD002"/>
    <x v="4"/>
    <x v="4"/>
    <s v="21–35 Age"/>
    <n v="77080"/>
    <n v="2952"/>
    <n v="558"/>
    <n v="255"/>
    <n v="145"/>
    <n v="53641.08"/>
    <n v="668676.1"/>
    <s v="East India"/>
    <n v="3.8297872340425529"/>
    <n v="18.17109756097561"/>
    <n v="18.902439024390244"/>
    <n v="369.93848275862069"/>
    <n v="12.46574640182487"/>
  </r>
  <r>
    <d v="2025-06-04T00:00:00"/>
    <s v="AD002"/>
    <x v="4"/>
    <x v="4"/>
    <s v="21–35 Age"/>
    <n v="247271"/>
    <n v="13740"/>
    <n v="2356"/>
    <n v="1075"/>
    <n v="541"/>
    <n v="224942.73"/>
    <n v="3479855.38"/>
    <s v="Pan India"/>
    <n v="5.5566564619385206"/>
    <n v="16.371377729257642"/>
    <n v="17.147016011644833"/>
    <n v="415.7906284658041"/>
    <n v="15.469961531986385"/>
  </r>
  <r>
    <d v="2025-06-05T00:00:00"/>
    <s v="AD002"/>
    <x v="4"/>
    <x v="4"/>
    <s v="21–35 Age"/>
    <n v="228774"/>
    <n v="15253"/>
    <n v="3595"/>
    <n v="2264"/>
    <n v="989"/>
    <n v="192239.45"/>
    <n v="3767177.71"/>
    <s v="West India"/>
    <n v="6.6672786243191968"/>
    <n v="12.60338621910444"/>
    <n v="23.569133940864091"/>
    <n v="194.37760364004046"/>
    <n v="19.596278027220738"/>
  </r>
  <r>
    <d v="2025-06-06T00:00:00"/>
    <s v="AD002"/>
    <x v="4"/>
    <x v="4"/>
    <s v="21–35 Age"/>
    <n v="140336"/>
    <n v="10973"/>
    <n v="2525"/>
    <n v="1411"/>
    <n v="738"/>
    <n v="101941.71"/>
    <n v="3405726.7"/>
    <s v="West India"/>
    <n v="7.8190913236803103"/>
    <n v="9.2902314772623722"/>
    <n v="23.011027066435798"/>
    <n v="138.13239837398376"/>
    <n v="33.408569465825124"/>
  </r>
  <r>
    <d v="2025-06-07T00:00:00"/>
    <s v="AD002"/>
    <x v="4"/>
    <x v="4"/>
    <s v="21–35 Age"/>
    <n v="255443"/>
    <n v="9636"/>
    <n v="2306"/>
    <n v="1082"/>
    <n v="528"/>
    <n v="108919.31"/>
    <n v="1641515.54"/>
    <s v="South India"/>
    <n v="3.7722701346288607"/>
    <n v="11.303373806558739"/>
    <n v="23.931091739310915"/>
    <n v="206.28657196969698"/>
    <n v="15.070932234146545"/>
  </r>
  <r>
    <d v="2025-06-08T00:00:00"/>
    <s v="AD002"/>
    <x v="4"/>
    <x v="4"/>
    <s v="21–35 Age"/>
    <n v="153084"/>
    <n v="4907"/>
    <n v="999"/>
    <n v="538"/>
    <n v="307"/>
    <n v="97654.25"/>
    <n v="1586488.03"/>
    <s v="North India"/>
    <n v="3.2054296987274959"/>
    <n v="19.901008762991644"/>
    <n v="20.358671285918074"/>
    <n v="318.09201954397395"/>
    <n v="16.245970144668561"/>
  </r>
  <r>
    <d v="2025-06-09T00:00:00"/>
    <s v="AD002"/>
    <x v="4"/>
    <x v="4"/>
    <s v="21–35 Age"/>
    <n v="114699"/>
    <n v="4802"/>
    <n v="801"/>
    <n v="375"/>
    <n v="175"/>
    <n v="79599.73"/>
    <n v="1126490.56"/>
    <s v="South India"/>
    <n v="4.1866101709692325"/>
    <n v="16.576370262390668"/>
    <n v="16.680549770928778"/>
    <n v="454.85559999999998"/>
    <n v="14.151939460096161"/>
  </r>
  <r>
    <d v="2025-06-10T00:00:00"/>
    <s v="AD002"/>
    <x v="4"/>
    <x v="4"/>
    <s v="21–35 Age"/>
    <n v="228607"/>
    <n v="11316"/>
    <n v="2761"/>
    <n v="1577"/>
    <n v="831"/>
    <n v="199079.5"/>
    <n v="5513047.8600000003"/>
    <s v="West India"/>
    <n v="4.9499796594155034"/>
    <n v="17.592744786143513"/>
    <n v="24.39908094733121"/>
    <n v="239.56618531889291"/>
    <n v="27.692694928407999"/>
  </r>
  <r>
    <d v="2025-06-11T00:00:00"/>
    <s v="AD002"/>
    <x v="4"/>
    <x v="4"/>
    <s v="21–35 Age"/>
    <n v="115246"/>
    <n v="7658"/>
    <n v="1593"/>
    <n v="756"/>
    <n v="338"/>
    <n v="111946.04"/>
    <n v="2482396.52"/>
    <s v="South India"/>
    <n v="6.6449160925324966"/>
    <n v="14.6181822930269"/>
    <n v="20.801775920605902"/>
    <n v="331.2013017751479"/>
    <n v="22.174938211302518"/>
  </r>
  <r>
    <d v="2025-06-12T00:00:00"/>
    <s v="AD002"/>
    <x v="4"/>
    <x v="4"/>
    <s v="21–35 Age"/>
    <n v="265508"/>
    <n v="9396"/>
    <n v="1593"/>
    <n v="898"/>
    <n v="489"/>
    <n v="184408.86"/>
    <n v="2219084.9500000002"/>
    <s v="West India"/>
    <n v="3.5388764180363679"/>
    <n v="19.626315453384418"/>
    <n v="16.954022988505745"/>
    <n v="377.11423312883431"/>
    <n v="12.033505060440156"/>
  </r>
  <r>
    <d v="2025-06-13T00:00:00"/>
    <s v="AD002"/>
    <x v="4"/>
    <x v="4"/>
    <s v="21–35 Age"/>
    <n v="52092"/>
    <n v="2486"/>
    <n v="570"/>
    <n v="350"/>
    <n v="191"/>
    <n v="35363.69"/>
    <n v="1423038.59"/>
    <s v="South India"/>
    <n v="4.7723258849727408"/>
    <n v="14.22513676588898"/>
    <n v="22.928399034593724"/>
    <n v="185.15020942408378"/>
    <n v="40.240104751512071"/>
  </r>
  <r>
    <d v="2025-06-14T00:00:00"/>
    <s v="AD002"/>
    <x v="4"/>
    <x v="4"/>
    <s v="21–35 Age"/>
    <n v="287149"/>
    <n v="12655"/>
    <n v="2180"/>
    <n v="1116"/>
    <n v="601"/>
    <n v="241881.98"/>
    <n v="4227409.95"/>
    <s v="East India"/>
    <n v="4.407119648684132"/>
    <n v="19.113550375345714"/>
    <n v="17.226392730146188"/>
    <n v="402.46585690515809"/>
    <n v="17.477159522176891"/>
  </r>
  <r>
    <d v="2025-06-15T00:00:00"/>
    <s v="AD002"/>
    <x v="4"/>
    <x v="4"/>
    <s v="21–35 Age"/>
    <n v="149833"/>
    <n v="7012"/>
    <n v="1494"/>
    <n v="738"/>
    <n v="297"/>
    <n v="131425.41"/>
    <n v="1614620.18"/>
    <s v="West India"/>
    <n v="4.6798769296483416"/>
    <n v="18.742927837992013"/>
    <n v="21.306332002281803"/>
    <n v="442.50979797979801"/>
    <n v="12.285449061943195"/>
  </r>
  <r>
    <d v="2025-06-16T00:00:00"/>
    <s v="AD002"/>
    <x v="4"/>
    <x v="4"/>
    <s v="21–35 Age"/>
    <n v="255927"/>
    <n v="12698"/>
    <n v="2565"/>
    <n v="1291"/>
    <n v="774"/>
    <n v="163441.21"/>
    <n v="4081467"/>
    <s v="West India"/>
    <n v="4.9615710730012852"/>
    <n v="12.871413608442273"/>
    <n v="20.200031501023783"/>
    <n v="211.16435400516795"/>
    <n v="24.972080174883679"/>
  </r>
  <r>
    <d v="2025-06-17T00:00:00"/>
    <s v="AD002"/>
    <x v="4"/>
    <x v="4"/>
    <s v="21–35 Age"/>
    <n v="234335"/>
    <n v="11764"/>
    <n v="1932"/>
    <n v="992"/>
    <n v="435"/>
    <n v="164277.07999999999"/>
    <n v="1544374.71"/>
    <s v="East India"/>
    <n v="5.0201634412273028"/>
    <n v="13.964389663379801"/>
    <n v="16.42298537912275"/>
    <n v="377.64845977011493"/>
    <n v="9.4010357987858075"/>
  </r>
  <r>
    <d v="2025-06-18T00:00:00"/>
    <s v="AD002"/>
    <x v="4"/>
    <x v="4"/>
    <s v="21–35 Age"/>
    <n v="146202"/>
    <n v="11655"/>
    <n v="2425"/>
    <n v="1140"/>
    <n v="460"/>
    <n v="79710.710000000006"/>
    <n v="2166582.31"/>
    <s v="North India"/>
    <n v="7.9718471703533469"/>
    <n v="6.8391857571857582"/>
    <n v="20.806520806520805"/>
    <n v="173.28415217391307"/>
    <n v="27.180567203579042"/>
  </r>
  <r>
    <d v="2025-06-19T00:00:00"/>
    <s v="AD002"/>
    <x v="4"/>
    <x v="4"/>
    <s v="21–35 Age"/>
    <n v="169807"/>
    <n v="5900"/>
    <n v="1002"/>
    <n v="543"/>
    <n v="271"/>
    <n v="167493.6"/>
    <n v="1293759.1100000001"/>
    <s v="West India"/>
    <n v="3.4745328520025676"/>
    <n v="28.388745762711867"/>
    <n v="16.983050847457626"/>
    <n v="618.05756457564576"/>
    <n v="7.724230119837415"/>
  </r>
  <r>
    <d v="2025-06-20T00:00:00"/>
    <s v="AD002"/>
    <x v="4"/>
    <x v="4"/>
    <s v="21–35 Age"/>
    <n v="51060"/>
    <n v="2259"/>
    <n v="559"/>
    <n v="276"/>
    <n v="121"/>
    <n v="41121.18"/>
    <n v="556625.17000000004"/>
    <s v="Pan India"/>
    <n v="4.4242068155111633"/>
    <n v="18.203266932270918"/>
    <n v="24.745462594068172"/>
    <n v="339.84446280991733"/>
    <n v="13.536215886800914"/>
  </r>
  <r>
    <d v="2025-06-21T00:00:00"/>
    <s v="AD002"/>
    <x v="4"/>
    <x v="4"/>
    <s v="21–35 Age"/>
    <n v="299910"/>
    <n v="23654"/>
    <n v="5219"/>
    <n v="2461"/>
    <n v="1471"/>
    <n v="147276.92000000001"/>
    <n v="7040894.9100000001"/>
    <s v="East India"/>
    <n v="7.8870327764996171"/>
    <n v="6.2263008370677273"/>
    <n v="22.063921535469689"/>
    <n v="100.12027192386132"/>
    <n v="47.807184655952881"/>
  </r>
  <r>
    <d v="2025-06-22T00:00:00"/>
    <s v="AD002"/>
    <x v="4"/>
    <x v="4"/>
    <s v="21–35 Age"/>
    <n v="118757"/>
    <n v="6909"/>
    <n v="1251"/>
    <n v="711"/>
    <n v="363"/>
    <n v="97100.84"/>
    <n v="2733839.18"/>
    <s v="East India"/>
    <n v="5.8177623213789502"/>
    <n v="14.054253871761469"/>
    <n v="18.106817194963092"/>
    <n v="267.49542699724515"/>
    <n v="28.154639856874567"/>
  </r>
  <r>
    <d v="2025-06-23T00:00:00"/>
    <s v="AD002"/>
    <x v="4"/>
    <x v="4"/>
    <s v="21–35 Age"/>
    <n v="215965"/>
    <n v="16744"/>
    <n v="3264"/>
    <n v="1645"/>
    <n v="772"/>
    <n v="138966.79999999999"/>
    <n v="3706914.65"/>
    <s v="Pan India"/>
    <n v="7.7531081425230939"/>
    <n v="8.2994983277591974"/>
    <n v="19.493549928332538"/>
    <n v="180.00880829015543"/>
    <n v="26.674821971866663"/>
  </r>
  <r>
    <d v="2025-06-24T00:00:00"/>
    <s v="AD002"/>
    <x v="4"/>
    <x v="4"/>
    <s v="21–35 Age"/>
    <n v="251296"/>
    <n v="15390"/>
    <n v="3332"/>
    <n v="1741"/>
    <n v="721"/>
    <n v="235593.68"/>
    <n v="5070650.21"/>
    <s v="Pan India"/>
    <n v="6.1242518782630846"/>
    <n v="15.308231319038336"/>
    <n v="21.650422352176736"/>
    <n v="326.75961165048545"/>
    <n v="21.522861776258175"/>
  </r>
  <r>
    <d v="2025-06-25T00:00:00"/>
    <s v="AD002"/>
    <x v="4"/>
    <x v="4"/>
    <s v="21–35 Age"/>
    <n v="58479"/>
    <n v="3449"/>
    <n v="525"/>
    <n v="332"/>
    <n v="138"/>
    <n v="36555.379999999997"/>
    <n v="944561.57"/>
    <s v="Pan India"/>
    <n v="5.8978436703774006"/>
    <n v="10.598834444766599"/>
    <n v="15.22180342128153"/>
    <n v="264.89405797101449"/>
    <n v="25.839194394915332"/>
  </r>
  <r>
    <d v="2025-06-26T00:00:00"/>
    <s v="AD002"/>
    <x v="4"/>
    <x v="4"/>
    <s v="21–35 Age"/>
    <n v="89905"/>
    <n v="4837"/>
    <n v="875"/>
    <n v="550"/>
    <n v="241"/>
    <n v="51333.26"/>
    <n v="1062504.3799999999"/>
    <s v="Pan India"/>
    <n v="5.3801234636560817"/>
    <n v="10.612623526979533"/>
    <n v="18.089725036179448"/>
    <n v="213.00107883817429"/>
    <n v="20.698166841537045"/>
  </r>
  <r>
    <d v="2025-06-27T00:00:00"/>
    <s v="AD002"/>
    <x v="4"/>
    <x v="4"/>
    <s v="21–35 Age"/>
    <n v="92090"/>
    <n v="5092"/>
    <n v="879"/>
    <n v="474"/>
    <n v="260"/>
    <n v="84474.07"/>
    <n v="1445950.1"/>
    <s v="Pan India"/>
    <n v="5.5293734390270393"/>
    <n v="16.589565985860173"/>
    <n v="17.262372348782403"/>
    <n v="324.90026923076925"/>
    <n v="17.117088119466718"/>
  </r>
  <r>
    <d v="2025-06-28T00:00:00"/>
    <s v="AD002"/>
    <x v="4"/>
    <x v="4"/>
    <s v="21–35 Age"/>
    <n v="118966"/>
    <n v="6945"/>
    <n v="1680"/>
    <n v="1063"/>
    <n v="602"/>
    <n v="86687.2"/>
    <n v="1924916.2"/>
    <s v="North India"/>
    <n v="5.8378023973236051"/>
    <n v="12.481958243340532"/>
    <n v="24.190064794816415"/>
    <n v="143.9986710963455"/>
    <n v="22.205310587953008"/>
  </r>
  <r>
    <d v="2025-06-29T00:00:00"/>
    <s v="AD002"/>
    <x v="4"/>
    <x v="4"/>
    <s v="21–35 Age"/>
    <n v="54787"/>
    <n v="2701"/>
    <n v="414"/>
    <n v="256"/>
    <n v="108"/>
    <n v="23226.400000000001"/>
    <n v="639599.69999999995"/>
    <s v="Pan India"/>
    <n v="4.9300016427254647"/>
    <n v="8.5991854868567206"/>
    <n v="15.327656423546834"/>
    <n v="215.05925925925928"/>
    <n v="27.537616677573791"/>
  </r>
  <r>
    <d v="2025-06-30T00:00:00"/>
    <s v="AD002"/>
    <x v="4"/>
    <x v="4"/>
    <s v="21–35 Age"/>
    <n v="81314"/>
    <n v="3799"/>
    <n v="757"/>
    <n v="427"/>
    <n v="191"/>
    <n v="47760.639999999999"/>
    <n v="1085518.31"/>
    <s v="East India"/>
    <n v="4.6720121996212214"/>
    <n v="12.571897867859963"/>
    <n v="19.92629639378784"/>
    <n v="250.05570680628273"/>
    <n v="22.728303263942863"/>
  </r>
  <r>
    <d v="2025-07-01T00:00:00"/>
    <s v="AD002"/>
    <x v="4"/>
    <x v="4"/>
    <s v="21–35 Age"/>
    <n v="92036"/>
    <n v="5655"/>
    <n v="1370"/>
    <n v="718"/>
    <n v="314"/>
    <n v="63223.93"/>
    <n v="1366952.36"/>
    <s v="Pan India"/>
    <n v="6.1443348255030639"/>
    <n v="11.180182139699381"/>
    <n v="24.226348364279399"/>
    <n v="201.35009554140129"/>
    <n v="21.620806552202623"/>
  </r>
  <r>
    <d v="2025-07-02T00:00:00"/>
    <s v="AD002"/>
    <x v="4"/>
    <x v="4"/>
    <s v="21–35 Age"/>
    <n v="269403"/>
    <n v="18663"/>
    <n v="4144"/>
    <n v="2502"/>
    <n v="1360"/>
    <n v="150891.95000000001"/>
    <n v="8181786.3200000003"/>
    <s v="South India"/>
    <n v="6.9275397824077682"/>
    <n v="8.0850854632159894"/>
    <n v="22.204361571022879"/>
    <n v="110.94996323529412"/>
    <n v="54.222815199883094"/>
  </r>
  <r>
    <d v="2025-07-03T00:00:00"/>
    <s v="AD002"/>
    <x v="4"/>
    <x v="4"/>
    <s v="21–35 Age"/>
    <n v="56759"/>
    <n v="4315"/>
    <n v="975"/>
    <n v="572"/>
    <n v="279"/>
    <n v="47812.04"/>
    <n v="1401844.34"/>
    <s v="Pan India"/>
    <n v="7.6023185750277484"/>
    <n v="11.080426419466976"/>
    <n v="22.595596755504054"/>
    <n v="171.36931899641579"/>
    <n v="29.319902267295017"/>
  </r>
  <r>
    <d v="2025-07-04T00:00:00"/>
    <s v="AD002"/>
    <x v="4"/>
    <x v="4"/>
    <s v="21–35 Age"/>
    <n v="294725"/>
    <n v="14169"/>
    <n v="3083"/>
    <n v="1956"/>
    <n v="783"/>
    <n v="267573.94"/>
    <n v="2450851.61"/>
    <s v="East India"/>
    <n v="4.8075324455000423"/>
    <n v="18.884461853341804"/>
    <n v="21.75876914390571"/>
    <n v="341.72916985951468"/>
    <n v="9.1595302965602698"/>
  </r>
  <r>
    <d v="2025-07-05T00:00:00"/>
    <s v="AD002"/>
    <x v="4"/>
    <x v="4"/>
    <s v="21–35 Age"/>
    <n v="284349"/>
    <n v="9408"/>
    <n v="1926"/>
    <n v="1228"/>
    <n v="734"/>
    <n v="145135.47"/>
    <n v="3166144.83"/>
    <s v="Pan India"/>
    <n v="3.3086101938111261"/>
    <n v="15.426814413265307"/>
    <n v="20.471938775510203"/>
    <n v="197.73224795640328"/>
    <n v="21.815100264601067"/>
  </r>
  <r>
    <d v="2025-07-06T00:00:00"/>
    <s v="AD002"/>
    <x v="4"/>
    <x v="4"/>
    <s v="21–35 Age"/>
    <n v="215773"/>
    <n v="11011"/>
    <n v="2592"/>
    <n v="1638"/>
    <n v="787"/>
    <n v="114990.31"/>
    <n v="3955862.49"/>
    <s v="East India"/>
    <n v="5.1030481107460153"/>
    <n v="10.443221324130414"/>
    <n v="23.540096267368995"/>
    <n v="146.11221092757305"/>
    <n v="34.401702978277044"/>
  </r>
  <r>
    <d v="2025-07-07T00:00:00"/>
    <s v="AD002"/>
    <x v="4"/>
    <x v="4"/>
    <s v="21–35 Age"/>
    <n v="265814"/>
    <n v="18135"/>
    <n v="3413"/>
    <n v="1802"/>
    <n v="979"/>
    <n v="178983.87"/>
    <n v="4945617.34"/>
    <s v="Pan India"/>
    <n v="6.822439751104155"/>
    <n v="9.8695268817204305"/>
    <n v="18.819961400606562"/>
    <n v="182.82315628192032"/>
    <n v="27.631637085509436"/>
  </r>
  <r>
    <d v="2025-07-08T00:00:00"/>
    <s v="AD002"/>
    <x v="4"/>
    <x v="4"/>
    <s v="21–35 Age"/>
    <n v="254425"/>
    <n v="11942"/>
    <n v="2510"/>
    <n v="1384"/>
    <n v="700"/>
    <n v="163582.32"/>
    <n v="5486851.2400000002"/>
    <s v="North India"/>
    <n v="4.6937211358946644"/>
    <n v="13.69806732540613"/>
    <n v="21.01825489867694"/>
    <n v="233.68902857142859"/>
    <n v="33.541835327925412"/>
  </r>
  <r>
    <d v="2025-07-09T00:00:00"/>
    <s v="AD002"/>
    <x v="4"/>
    <x v="4"/>
    <s v="21–35 Age"/>
    <n v="259369"/>
    <n v="9336"/>
    <n v="2252"/>
    <n v="1107"/>
    <n v="588"/>
    <n v="154589.95000000001"/>
    <n v="3499060.17"/>
    <s v="South India"/>
    <n v="3.5995049524037181"/>
    <n v="16.55847793487575"/>
    <n v="24.121679520137103"/>
    <n v="262.90807823129256"/>
    <n v="22.634460843023753"/>
  </r>
  <r>
    <d v="2025-07-10T00:00:00"/>
    <s v="AD002"/>
    <x v="4"/>
    <x v="4"/>
    <s v="21–35 Age"/>
    <n v="221044"/>
    <n v="13069"/>
    <n v="2745"/>
    <n v="1298"/>
    <n v="558"/>
    <n v="160690.04999999999"/>
    <n v="3236187.64"/>
    <s v="North India"/>
    <n v="5.9123975317131432"/>
    <n v="12.295512280970234"/>
    <n v="21.003902364373708"/>
    <n v="287.97499999999997"/>
    <n v="20.139315657690069"/>
  </r>
  <r>
    <d v="2025-07-11T00:00:00"/>
    <s v="AD002"/>
    <x v="4"/>
    <x v="4"/>
    <s v="21–35 Age"/>
    <n v="94706"/>
    <n v="5747"/>
    <n v="890"/>
    <n v="494"/>
    <n v="278"/>
    <n v="65416.27"/>
    <n v="2144560.42"/>
    <s v="Pan India"/>
    <n v="6.068253331362321"/>
    <n v="11.382681398990778"/>
    <n v="15.486340699495388"/>
    <n v="235.31032374100718"/>
    <n v="32.783288010765517"/>
  </r>
  <r>
    <d v="2025-07-12T00:00:00"/>
    <s v="AD002"/>
    <x v="4"/>
    <x v="4"/>
    <s v="21–35 Age"/>
    <n v="176503"/>
    <n v="10957"/>
    <n v="1846"/>
    <n v="985"/>
    <n v="397"/>
    <n v="145083.42000000001"/>
    <n v="1468396.6"/>
    <s v="East India"/>
    <n v="6.207826495866926"/>
    <n v="13.241162727023822"/>
    <n v="16.847677283928082"/>
    <n v="365.44942065491188"/>
    <n v="10.121050358476523"/>
  </r>
  <r>
    <d v="2025-07-13T00:00:00"/>
    <s v="AD002"/>
    <x v="4"/>
    <x v="4"/>
    <s v="21–35 Age"/>
    <n v="237358"/>
    <n v="14516"/>
    <n v="2484"/>
    <n v="1272"/>
    <n v="548"/>
    <n v="133175.25"/>
    <n v="4227791.0199999996"/>
    <s v="South India"/>
    <n v="6.1156565188449514"/>
    <n v="9.1743765500137773"/>
    <n v="17.112152108018737"/>
    <n v="243.02052919708029"/>
    <n v="31.746071586124295"/>
  </r>
  <r>
    <d v="2025-07-14T00:00:00"/>
    <s v="AD002"/>
    <x v="4"/>
    <x v="4"/>
    <s v="21–35 Age"/>
    <n v="50848"/>
    <n v="3877"/>
    <n v="825"/>
    <n v="405"/>
    <n v="190"/>
    <n v="43221.5"/>
    <n v="1323600.99"/>
    <s v="West India"/>
    <n v="7.6246853366897422"/>
    <n v="11.148181583698737"/>
    <n v="21.27933969564096"/>
    <n v="227.48157894736843"/>
    <n v="30.623670858253416"/>
  </r>
  <r>
    <d v="2025-07-15T00:00:00"/>
    <s v="AD002"/>
    <x v="4"/>
    <x v="4"/>
    <s v="21–35 Age"/>
    <n v="96272"/>
    <n v="7109"/>
    <n v="1160"/>
    <n v="673"/>
    <n v="373"/>
    <n v="61170.400000000001"/>
    <n v="1645196.91"/>
    <s v="Pan India"/>
    <n v="7.3842861891307967"/>
    <n v="8.6046420030946695"/>
    <n v="16.317344211562805"/>
    <n v="163.99571045576408"/>
    <n v="26.895310640440471"/>
  </r>
  <r>
    <d v="2025-07-16T00:00:00"/>
    <s v="AD002"/>
    <x v="4"/>
    <x v="4"/>
    <s v="21–35 Age"/>
    <n v="163136"/>
    <n v="7760"/>
    <n v="1293"/>
    <n v="616"/>
    <n v="309"/>
    <n v="81536.179999999993"/>
    <n v="1996807.57"/>
    <s v="South India"/>
    <n v="4.7567673597489213"/>
    <n v="10.507239690721649"/>
    <n v="16.662371134020617"/>
    <n v="263.87113268608414"/>
    <n v="24.489834696695382"/>
  </r>
  <r>
    <d v="2025-07-17T00:00:00"/>
    <s v="AD002"/>
    <x v="4"/>
    <x v="4"/>
    <s v="21–35 Age"/>
    <n v="224881"/>
    <n v="13220"/>
    <n v="2919"/>
    <n v="1678"/>
    <n v="726"/>
    <n v="209811.4"/>
    <n v="4054985.75"/>
    <s v="South India"/>
    <n v="5.8786647160053533"/>
    <n v="15.870756429652042"/>
    <n v="22.080181543116488"/>
    <n v="288.99641873278239"/>
    <n v="19.326813271347508"/>
  </r>
  <r>
    <d v="2025-07-18T00:00:00"/>
    <s v="AD002"/>
    <x v="4"/>
    <x v="4"/>
    <s v="21–35 Age"/>
    <n v="107896"/>
    <n v="6609"/>
    <n v="1436"/>
    <n v="892"/>
    <n v="459"/>
    <n v="104215.29"/>
    <n v="2367563.2200000002"/>
    <s v="East India"/>
    <n v="6.1253429228145615"/>
    <n v="15.768692691783929"/>
    <n v="21.7279467392949"/>
    <n v="227.04856209150324"/>
    <n v="22.718002511915483"/>
  </r>
  <r>
    <d v="2025-07-19T00:00:00"/>
    <s v="AD002"/>
    <x v="4"/>
    <x v="4"/>
    <s v="21–35 Age"/>
    <n v="100529"/>
    <n v="3042"/>
    <n v="580"/>
    <n v="326"/>
    <n v="173"/>
    <n v="52428"/>
    <n v="1269806.24"/>
    <s v="East India"/>
    <n v="3.0259924996767102"/>
    <n v="17.234714003944774"/>
    <n v="19.066403681788298"/>
    <n v="303.05202312138726"/>
    <n v="24.220001525902191"/>
  </r>
  <r>
    <d v="2025-07-20T00:00:00"/>
    <s v="AD002"/>
    <x v="4"/>
    <x v="4"/>
    <s v="21–35 Age"/>
    <n v="59847"/>
    <n v="4601"/>
    <n v="734"/>
    <n v="338"/>
    <n v="157"/>
    <n v="24579.52"/>
    <n v="524652.68999999994"/>
    <s v="North India"/>
    <n v="7.6879375741474094"/>
    <n v="5.3422125624864165"/>
    <n v="15.953053683981743"/>
    <n v="156.55745222929937"/>
    <n v="21.345115364335836"/>
  </r>
  <r>
    <d v="2025-07-21T00:00:00"/>
    <s v="AD002"/>
    <x v="4"/>
    <x v="4"/>
    <s v="21–35 Age"/>
    <n v="183044"/>
    <n v="9780"/>
    <n v="2113"/>
    <n v="1094"/>
    <n v="518"/>
    <n v="149648.03"/>
    <n v="2135225.13"/>
    <s v="East India"/>
    <n v="5.3429776447193023"/>
    <n v="15.301434560327198"/>
    <n v="21.605316973415135"/>
    <n v="288.89581081081081"/>
    <n v="14.268314323950673"/>
  </r>
  <r>
    <d v="2025-07-22T00:00:00"/>
    <s v="AD002"/>
    <x v="4"/>
    <x v="4"/>
    <s v="21–35 Age"/>
    <n v="295519"/>
    <n v="20154"/>
    <n v="3461"/>
    <n v="1995"/>
    <n v="1138"/>
    <n v="221471.19"/>
    <n v="8555769.9199999999"/>
    <s v="North India"/>
    <n v="6.8198660661412625"/>
    <n v="10.988944626376899"/>
    <n v="17.172769673513944"/>
    <n v="194.61440246045694"/>
    <n v="38.631525481937402"/>
  </r>
  <r>
    <d v="2025-07-23T00:00:00"/>
    <s v="AD002"/>
    <x v="4"/>
    <x v="4"/>
    <s v="21–35 Age"/>
    <n v="102281"/>
    <n v="7277"/>
    <n v="1524"/>
    <n v="814"/>
    <n v="398"/>
    <n v="41674.82"/>
    <n v="2247547.73"/>
    <s v="North India"/>
    <n v="7.1147133876282007"/>
    <n v="5.7269231826302045"/>
    <n v="20.942696166002474"/>
    <n v="104.71060301507538"/>
    <n v="53.93059238168275"/>
  </r>
  <r>
    <d v="2025-07-24T00:00:00"/>
    <s v="AD002"/>
    <x v="4"/>
    <x v="4"/>
    <s v="21–35 Age"/>
    <n v="69228"/>
    <n v="2248"/>
    <n v="378"/>
    <n v="231"/>
    <n v="127"/>
    <n v="47888.71"/>
    <n v="980730.14"/>
    <s v="North India"/>
    <n v="3.2472410007511407"/>
    <n v="21.302806939501778"/>
    <n v="16.814946619217082"/>
    <n v="377.07645669291338"/>
    <n v="20.479360166519417"/>
  </r>
  <r>
    <d v="2025-07-25T00:00:00"/>
    <s v="AD002"/>
    <x v="4"/>
    <x v="4"/>
    <s v="21–35 Age"/>
    <n v="195078"/>
    <n v="11378"/>
    <n v="2824"/>
    <n v="1362"/>
    <n v="720"/>
    <n v="101190.07"/>
    <n v="4473021.84"/>
    <s v="North India"/>
    <n v="5.8325387793600507"/>
    <n v="8.8934847952188445"/>
    <n v="24.819827737739498"/>
    <n v="140.54176388888891"/>
    <n v="44.204157977161195"/>
  </r>
  <r>
    <d v="2025-07-26T00:00:00"/>
    <s v="AD002"/>
    <x v="4"/>
    <x v="4"/>
    <s v="21–35 Age"/>
    <n v="98148"/>
    <n v="6924"/>
    <n v="1556"/>
    <n v="839"/>
    <n v="415"/>
    <n v="82010.11"/>
    <n v="2689713.42"/>
    <s v="East India"/>
    <n v="7.0546521579655215"/>
    <n v="11.844325534373194"/>
    <n v="22.472559214326978"/>
    <n v="197.61472289156626"/>
    <n v="32.797339498752045"/>
  </r>
  <r>
    <d v="2025-07-27T00:00:00"/>
    <s v="AD002"/>
    <x v="4"/>
    <x v="4"/>
    <s v="21–35 Age"/>
    <n v="288669"/>
    <n v="16685"/>
    <n v="2685"/>
    <n v="1692"/>
    <n v="697"/>
    <n v="197363.38"/>
    <n v="2266273.4"/>
    <s v="West India"/>
    <n v="5.7799763743249191"/>
    <n v="11.828791129757267"/>
    <n v="16.092298471681151"/>
    <n v="283.16123385939744"/>
    <n v="11.482745177955504"/>
  </r>
  <r>
    <d v="2025-07-28T00:00:00"/>
    <s v="AD002"/>
    <x v="4"/>
    <x v="4"/>
    <s v="21–35 Age"/>
    <n v="228940"/>
    <n v="7307"/>
    <n v="1297"/>
    <n v="812"/>
    <n v="445"/>
    <n v="100965.24"/>
    <n v="1835902.46"/>
    <s v="South India"/>
    <n v="3.1916659386738884"/>
    <n v="13.817605036266594"/>
    <n v="17.75010264130286"/>
    <n v="226.88817977528092"/>
    <n v="18.18351008723398"/>
  </r>
  <r>
    <d v="2025-07-29T00:00:00"/>
    <s v="AD002"/>
    <x v="4"/>
    <x v="4"/>
    <s v="21–35 Age"/>
    <n v="103373"/>
    <n v="6280"/>
    <n v="1324"/>
    <n v="665"/>
    <n v="319"/>
    <n v="91234.94"/>
    <n v="1337659.8600000001"/>
    <s v="Pan India"/>
    <n v="6.0750873051957477"/>
    <n v="14.52785668789809"/>
    <n v="21.082802547770701"/>
    <n v="286.00294670846398"/>
    <n v="14.661705920999127"/>
  </r>
  <r>
    <d v="2025-07-30T00:00:00"/>
    <s v="AD002"/>
    <x v="4"/>
    <x v="4"/>
    <s v="21–35 Age"/>
    <n v="183663"/>
    <n v="7335"/>
    <n v="1401"/>
    <n v="843"/>
    <n v="357"/>
    <n v="159534.43"/>
    <n v="2405412.1800000002"/>
    <s v="Pan India"/>
    <n v="3.993727642475621"/>
    <n v="21.74975187457396"/>
    <n v="19.100204498977504"/>
    <n v="446.87515406162464"/>
    <n v="15.077699403194661"/>
  </r>
  <r>
    <d v="2025-07-31T00:00:00"/>
    <s v="AD002"/>
    <x v="4"/>
    <x v="4"/>
    <s v="21–35 Age"/>
    <n v="125289"/>
    <n v="5916"/>
    <n v="1354"/>
    <n v="610"/>
    <n v="295"/>
    <n v="81381.38"/>
    <n v="2009705.99"/>
    <s v="North India"/>
    <n v="4.7218830064889969"/>
    <n v="13.756149425287358"/>
    <n v="22.88708586883029"/>
    <n v="275.86908474576273"/>
    <n v="24.694911661611044"/>
  </r>
  <r>
    <d v="2025-08-01T00:00:00"/>
    <s v="AD002"/>
    <x v="4"/>
    <x v="4"/>
    <s v="21–35 Age"/>
    <n v="82289"/>
    <n v="2865"/>
    <n v="627"/>
    <n v="344"/>
    <n v="153"/>
    <n v="72603.02"/>
    <n v="791070.5"/>
    <s v="Pan India"/>
    <n v="3.4816318098409265"/>
    <n v="25.341368237347297"/>
    <n v="21.8848167539267"/>
    <n v="474.52954248366018"/>
    <n v="10.895834636079876"/>
  </r>
  <r>
    <d v="2025-08-02T00:00:00"/>
    <s v="AD002"/>
    <x v="4"/>
    <x v="4"/>
    <s v="21–35 Age"/>
    <n v="122204"/>
    <n v="4702"/>
    <n v="1151"/>
    <n v="571"/>
    <n v="334"/>
    <n v="64654.83"/>
    <n v="1107200.51"/>
    <s v="South India"/>
    <n v="3.8476645608981701"/>
    <n v="13.750495533815398"/>
    <n v="24.478945129732029"/>
    <n v="193.57733532934131"/>
    <n v="17.124791914231309"/>
  </r>
  <r>
    <d v="2025-08-03T00:00:00"/>
    <s v="AD002"/>
    <x v="4"/>
    <x v="4"/>
    <s v="21–35 Age"/>
    <n v="282568"/>
    <n v="20991"/>
    <n v="3160"/>
    <n v="1720"/>
    <n v="1027"/>
    <n v="254928.95"/>
    <n v="4693041.45"/>
    <s v="North India"/>
    <n v="7.428654341609807"/>
    <n v="12.144678671811729"/>
    <n v="15.054070792244294"/>
    <n v="248.22682570593963"/>
    <n v="18.409213429859573"/>
  </r>
  <r>
    <d v="2025-08-04T00:00:00"/>
    <s v="AD002"/>
    <x v="4"/>
    <x v="4"/>
    <s v="21–35 Age"/>
    <n v="276741"/>
    <n v="8329"/>
    <n v="2013"/>
    <n v="1048"/>
    <n v="550"/>
    <n v="241422.3"/>
    <n v="3218248.07"/>
    <s v="West India"/>
    <n v="3.0096733046422468"/>
    <n v="28.985748589266418"/>
    <n v="24.168567655180695"/>
    <n v="438.94963636363633"/>
    <n v="13.330367865768821"/>
  </r>
  <r>
    <d v="2025-08-05T00:00:00"/>
    <s v="AD002"/>
    <x v="4"/>
    <x v="4"/>
    <s v="21–35 Age"/>
    <n v="276190"/>
    <n v="8837"/>
    <n v="1345"/>
    <n v="850"/>
    <n v="400"/>
    <n v="258734.91"/>
    <n v="1603909.43"/>
    <s v="West India"/>
    <n v="3.1996089648430424"/>
    <n v="29.278591150843045"/>
    <n v="15.220097318094375"/>
    <n v="646.83727499999998"/>
    <n v="6.1990453085747106"/>
  </r>
  <r>
    <d v="2025-08-06T00:00:00"/>
    <s v="AD002"/>
    <x v="4"/>
    <x v="4"/>
    <s v="21–35 Age"/>
    <n v="157823"/>
    <n v="7462"/>
    <n v="1653"/>
    <n v="1051"/>
    <n v="551"/>
    <n v="152142.20000000001"/>
    <n v="2267468.2599999998"/>
    <s v="West India"/>
    <n v="4.7280814583425732"/>
    <n v="20.388930581613511"/>
    <n v="22.152238005896542"/>
    <n v="276.12014519056265"/>
    <n v="14.90361162123329"/>
  </r>
  <r>
    <d v="2025-08-07T00:00:00"/>
    <s v="AD002"/>
    <x v="4"/>
    <x v="4"/>
    <s v="21–35 Age"/>
    <n v="168164"/>
    <n v="12919"/>
    <n v="3045"/>
    <n v="1753"/>
    <n v="778"/>
    <n v="141390.10999999999"/>
    <n v="3060297.73"/>
    <s v="West India"/>
    <n v="7.6823814847410858"/>
    <n v="10.944354052171219"/>
    <n v="23.569935753541298"/>
    <n v="181.73535989717223"/>
    <n v="21.644354969382231"/>
  </r>
  <r>
    <d v="2025-08-08T00:00:00"/>
    <s v="AD002"/>
    <x v="4"/>
    <x v="4"/>
    <s v="21–35 Age"/>
    <n v="196818"/>
    <n v="10477"/>
    <n v="1940"/>
    <n v="1106"/>
    <n v="531"/>
    <n v="148549.07"/>
    <n v="4182575.02"/>
    <s v="South India"/>
    <n v="5.3231919844729649"/>
    <n v="14.178588336355828"/>
    <n v="18.516750978333494"/>
    <n v="279.75342749529193"/>
    <n v="28.156184485032455"/>
  </r>
  <r>
    <d v="2025-08-09T00:00:00"/>
    <s v="AD002"/>
    <x v="4"/>
    <x v="4"/>
    <s v="21–35 Age"/>
    <n v="87549"/>
    <n v="4272"/>
    <n v="877"/>
    <n v="466"/>
    <n v="259"/>
    <n v="55978.68"/>
    <n v="1264912.83"/>
    <s v="North India"/>
    <n v="4.8795531645135863"/>
    <n v="13.103623595505619"/>
    <n v="20.529026217228463"/>
    <n v="216.13389961389962"/>
    <n v="22.596331853484219"/>
  </r>
  <r>
    <d v="2025-08-10T00:00:00"/>
    <s v="AD002"/>
    <x v="4"/>
    <x v="4"/>
    <s v="21–35 Age"/>
    <n v="209975"/>
    <n v="7033"/>
    <n v="1633"/>
    <n v="987"/>
    <n v="489"/>
    <n v="104015.44"/>
    <n v="3787589.47"/>
    <s v="West India"/>
    <n v="3.3494463626622215"/>
    <n v="14.789626048627897"/>
    <n v="23.219109910422294"/>
    <n v="212.71051124744378"/>
    <n v="36.413723481821549"/>
  </r>
  <r>
    <d v="2025-08-11T00:00:00"/>
    <s v="AD002"/>
    <x v="4"/>
    <x v="4"/>
    <s v="21–35 Age"/>
    <n v="248579"/>
    <n v="16137"/>
    <n v="3772"/>
    <n v="2122"/>
    <n v="1032"/>
    <n v="155529.26"/>
    <n v="3706021.15"/>
    <s v="North India"/>
    <n v="6.491698816070544"/>
    <n v="9.6380529218566036"/>
    <n v="23.374852822705584"/>
    <n v="150.70664728682172"/>
    <n v="23.828449707791318"/>
  </r>
  <r>
    <d v="2025-08-12T00:00:00"/>
    <s v="AD002"/>
    <x v="4"/>
    <x v="4"/>
    <s v="21–35 Age"/>
    <n v="105929"/>
    <n v="6513"/>
    <n v="1176"/>
    <n v="544"/>
    <n v="290"/>
    <n v="45471.22"/>
    <n v="1842642.34"/>
    <s v="North India"/>
    <n v="6.1484579293677841"/>
    <n v="6.981609089513281"/>
    <n v="18.056195301704285"/>
    <n v="156.79731034482759"/>
    <n v="40.52326592512803"/>
  </r>
  <r>
    <d v="2025-08-13T00:00:00"/>
    <s v="AD002"/>
    <x v="4"/>
    <x v="4"/>
    <s v="21–35 Age"/>
    <n v="285906"/>
    <n v="22490"/>
    <n v="5143"/>
    <n v="2920"/>
    <n v="1595"/>
    <n v="142184.53"/>
    <n v="5142498.68"/>
    <s v="North India"/>
    <n v="7.8662217651955535"/>
    <n v="6.322122276567363"/>
    <n v="22.867941307247666"/>
    <n v="89.143905956112846"/>
    <n v="36.167779152907841"/>
  </r>
  <r>
    <d v="2025-08-14T00:00:00"/>
    <s v="AD002"/>
    <x v="4"/>
    <x v="4"/>
    <s v="21–35 Age"/>
    <n v="114829"/>
    <n v="6699"/>
    <n v="1279"/>
    <n v="675"/>
    <n v="334"/>
    <n v="87179.3"/>
    <n v="2116901.4700000002"/>
    <s v="West India"/>
    <n v="5.8338921352619986"/>
    <n v="13.013778175847142"/>
    <n v="19.09240185102254"/>
    <n v="261.01586826347307"/>
    <n v="24.282157232278767"/>
  </r>
  <r>
    <d v="2025-08-15T00:00:00"/>
    <s v="AD002"/>
    <x v="4"/>
    <x v="4"/>
    <s v="21–35 Age"/>
    <n v="139439"/>
    <n v="8820"/>
    <n v="2115"/>
    <n v="1244"/>
    <n v="610"/>
    <n v="68482.23"/>
    <n v="2965372.21"/>
    <s v="East India"/>
    <n v="6.3253465673161742"/>
    <n v="7.7644251700680265"/>
    <n v="23.979591836734691"/>
    <n v="112.26595081967213"/>
    <n v="43.301338317984097"/>
  </r>
  <r>
    <d v="2025-08-16T00:00:00"/>
    <s v="AD002"/>
    <x v="4"/>
    <x v="4"/>
    <s v="21–35 Age"/>
    <n v="156143"/>
    <n v="12051"/>
    <n v="2488"/>
    <n v="1574"/>
    <n v="776"/>
    <n v="67878.95"/>
    <n v="6203499.9299999997"/>
    <s v="North India"/>
    <n v="7.7179252352010659"/>
    <n v="5.6326404447763672"/>
    <n v="20.645589577628414"/>
    <n v="87.472873711340199"/>
    <n v="91.390628906310425"/>
  </r>
  <r>
    <d v="2025-08-17T00:00:00"/>
    <s v="AD002"/>
    <x v="4"/>
    <x v="4"/>
    <s v="21–35 Age"/>
    <n v="240812"/>
    <n v="8480"/>
    <n v="1398"/>
    <n v="794"/>
    <n v="351"/>
    <n v="97560.76"/>
    <n v="2504594.84"/>
    <s v="East India"/>
    <n v="3.5214191983788181"/>
    <n v="11.504806603773584"/>
    <n v="16.485849056603776"/>
    <n v="277.95088319088319"/>
    <n v="25.672153845459999"/>
  </r>
  <r>
    <d v="2025-08-18T00:00:00"/>
    <s v="AD002"/>
    <x v="4"/>
    <x v="4"/>
    <s v="21–35 Age"/>
    <n v="138243"/>
    <n v="8910"/>
    <n v="1845"/>
    <n v="909"/>
    <n v="537"/>
    <n v="101458.77"/>
    <n v="3422258.08"/>
    <s v="South India"/>
    <n v="6.4451726308022828"/>
    <n v="11.38706734006734"/>
    <n v="20.707070707070706"/>
    <n v="188.93625698324024"/>
    <n v="33.730529948273571"/>
  </r>
  <r>
    <d v="2025-08-19T00:00:00"/>
    <s v="AD002"/>
    <x v="4"/>
    <x v="4"/>
    <s v="21–35 Age"/>
    <n v="218087"/>
    <n v="9347"/>
    <n v="2279"/>
    <n v="1102"/>
    <n v="475"/>
    <n v="204860.79"/>
    <n v="2934887.01"/>
    <s v="East India"/>
    <n v="4.285904249221641"/>
    <n v="21.917277201241042"/>
    <n v="24.382154702043437"/>
    <n v="431.28587368421057"/>
    <n v="14.326250572400896"/>
  </r>
  <r>
    <d v="2025-08-20T00:00:00"/>
    <s v="AD002"/>
    <x v="4"/>
    <x v="4"/>
    <s v="21–35 Age"/>
    <n v="120567"/>
    <n v="7874"/>
    <n v="1738"/>
    <n v="882"/>
    <n v="513"/>
    <n v="85980.89"/>
    <n v="2514070.6800000002"/>
    <s v="East India"/>
    <n v="6.5308085960503286"/>
    <n v="10.919594869189739"/>
    <n v="22.07264414528829"/>
    <n v="167.60407407407408"/>
    <n v="29.239877372751085"/>
  </r>
  <r>
    <d v="2025-08-21T00:00:00"/>
    <s v="AD002"/>
    <x v="4"/>
    <x v="4"/>
    <s v="21–35 Age"/>
    <n v="60672"/>
    <n v="4419"/>
    <n v="871"/>
    <n v="435"/>
    <n v="245"/>
    <n v="51458.58"/>
    <n v="887743.91"/>
    <s v="North India"/>
    <n v="7.2834256329113929"/>
    <n v="11.644847250509166"/>
    <n v="19.710341706268387"/>
    <n v="210.03502040816326"/>
    <n v="17.251620818141504"/>
  </r>
  <r>
    <d v="2025-08-22T00:00:00"/>
    <s v="AD002"/>
    <x v="4"/>
    <x v="4"/>
    <s v="21–35 Age"/>
    <n v="100402"/>
    <n v="5050"/>
    <n v="816"/>
    <n v="428"/>
    <n v="214"/>
    <n v="59444.37"/>
    <n v="833256.71"/>
    <s v="South India"/>
    <n v="5.0297802832612897"/>
    <n v="11.771162376237625"/>
    <n v="16.158415841584159"/>
    <n v="277.77742990654207"/>
    <n v="14.017420152657012"/>
  </r>
  <r>
    <d v="2025-08-23T00:00:00"/>
    <s v="AD002"/>
    <x v="4"/>
    <x v="4"/>
    <s v="21–35 Age"/>
    <n v="182510"/>
    <n v="10026"/>
    <n v="2101"/>
    <n v="1067"/>
    <n v="537"/>
    <n v="125713.35"/>
    <n v="3892044.05"/>
    <s v="East India"/>
    <n v="5.4933976220481062"/>
    <n v="12.538734290843808"/>
    <n v="20.955515659285854"/>
    <n v="234.10307262569833"/>
    <n v="30.959671745284009"/>
  </r>
  <r>
    <d v="2025-08-24T00:00:00"/>
    <s v="AD002"/>
    <x v="4"/>
    <x v="4"/>
    <s v="21–35 Age"/>
    <n v="91784"/>
    <n v="5762"/>
    <n v="1342"/>
    <n v="834"/>
    <n v="453"/>
    <n v="53692.75"/>
    <n v="2444731.5"/>
    <s v="East India"/>
    <n v="6.2777826200644995"/>
    <n v="9.3184224227698724"/>
    <n v="23.290524123568204"/>
    <n v="118.52704194260485"/>
    <n v="45.531873483850241"/>
  </r>
  <r>
    <d v="2025-08-25T00:00:00"/>
    <s v="AD002"/>
    <x v="4"/>
    <x v="4"/>
    <s v="21–35 Age"/>
    <n v="277958"/>
    <n v="10817"/>
    <n v="2519"/>
    <n v="1222"/>
    <n v="546"/>
    <n v="258352.11"/>
    <n v="3167583.01"/>
    <s v="West India"/>
    <n v="3.8915951330776593"/>
    <n v="23.883896644171212"/>
    <n v="23.28741795322178"/>
    <n v="473.1723626373626"/>
    <n v="12.260720494986474"/>
  </r>
  <r>
    <d v="2025-08-26T00:00:00"/>
    <s v="AD002"/>
    <x v="4"/>
    <x v="4"/>
    <s v="21–35 Age"/>
    <n v="192183"/>
    <n v="10955"/>
    <n v="1911"/>
    <n v="982"/>
    <n v="531"/>
    <n v="99989.22"/>
    <n v="2721879.68"/>
    <s v="South India"/>
    <n v="5.7002960719730673"/>
    <n v="9.127267914194432"/>
    <n v="17.444089456869012"/>
    <n v="188.30361581920903"/>
    <n v="27.221731302634424"/>
  </r>
  <r>
    <d v="2025-08-27T00:00:00"/>
    <s v="AD002"/>
    <x v="4"/>
    <x v="4"/>
    <s v="21–35 Age"/>
    <n v="263391"/>
    <n v="15760"/>
    <n v="2389"/>
    <n v="1303"/>
    <n v="686"/>
    <n v="138918.72"/>
    <n v="3426291.48"/>
    <s v="West India"/>
    <n v="5.9834998158631088"/>
    <n v="8.8146395939086304"/>
    <n v="15.158629441624367"/>
    <n v="202.50542274052478"/>
    <n v="24.664001223161286"/>
  </r>
  <r>
    <d v="2025-08-28T00:00:00"/>
    <s v="AD002"/>
    <x v="4"/>
    <x v="4"/>
    <s v="21–35 Age"/>
    <n v="272021"/>
    <n v="16255"/>
    <n v="3053"/>
    <n v="1496"/>
    <n v="719"/>
    <n v="201326.36"/>
    <n v="2668478.92"/>
    <s v="Pan India"/>
    <n v="5.9756415864951604"/>
    <n v="12.385503537373115"/>
    <n v="18.781913257459244"/>
    <n v="280.00884561891513"/>
    <n v="13.254493450336062"/>
  </r>
  <r>
    <d v="2025-08-29T00:00:00"/>
    <s v="AD002"/>
    <x v="4"/>
    <x v="4"/>
    <s v="21–35 Age"/>
    <n v="156442"/>
    <n v="5047"/>
    <n v="1081"/>
    <n v="616"/>
    <n v="364"/>
    <n v="81569.7"/>
    <n v="1780402.59"/>
    <s v="North India"/>
    <n v="3.2261157489676688"/>
    <n v="16.162017039825638"/>
    <n v="21.418664553199921"/>
    <n v="224.09258241758241"/>
    <n v="21.826763982213986"/>
  </r>
  <r>
    <d v="2025-08-30T00:00:00"/>
    <s v="AD002"/>
    <x v="4"/>
    <x v="4"/>
    <s v="21–35 Age"/>
    <n v="247071"/>
    <n v="14991"/>
    <n v="3641"/>
    <n v="1717"/>
    <n v="746"/>
    <n v="196671.42"/>
    <n v="5676011.4400000004"/>
    <s v="North India"/>
    <n v="6.0674866738710733"/>
    <n v="13.11929957974785"/>
    <n v="24.287906076979521"/>
    <n v="263.63461126005365"/>
    <n v="28.860377577992775"/>
  </r>
  <r>
    <d v="2025-08-31T00:00:00"/>
    <s v="AD002"/>
    <x v="4"/>
    <x v="4"/>
    <s v="21–35 Age"/>
    <n v="250143"/>
    <n v="13827"/>
    <n v="2421"/>
    <n v="1432"/>
    <n v="812"/>
    <n v="246806.14"/>
    <n v="4206184.57"/>
    <s v="East India"/>
    <n v="5.5276381909547743"/>
    <n v="17.849579807622767"/>
    <n v="17.509221089173359"/>
    <n v="303.94844827586206"/>
    <n v="17.04246324665991"/>
  </r>
  <r>
    <d v="2025-09-01T00:00:00"/>
    <s v="AD002"/>
    <x v="4"/>
    <x v="4"/>
    <s v="21–35 Age"/>
    <n v="107058"/>
    <n v="3243"/>
    <n v="768"/>
    <n v="451"/>
    <n v="183"/>
    <n v="93964.07"/>
    <n v="1201913.08"/>
    <s v="South India"/>
    <n v="3.0291991257075606"/>
    <n v="28.974427998766576"/>
    <n v="23.681776133209993"/>
    <n v="513.4648633879782"/>
    <n v="12.791198593249526"/>
  </r>
  <r>
    <d v="2025-09-02T00:00:00"/>
    <s v="AD002"/>
    <x v="4"/>
    <x v="4"/>
    <s v="21–35 Age"/>
    <n v="70747"/>
    <n v="4626"/>
    <n v="1107"/>
    <n v="534"/>
    <n v="275"/>
    <n v="61069.08"/>
    <n v="943623.62"/>
    <s v="South India"/>
    <n v="6.5387931643744608"/>
    <n v="13.201271076523994"/>
    <n v="23.929961089494164"/>
    <n v="222.06938181818182"/>
    <n v="15.451741208480625"/>
  </r>
  <r>
    <d v="2025-09-03T00:00:00"/>
    <s v="AD002"/>
    <x v="4"/>
    <x v="4"/>
    <s v="21–35 Age"/>
    <n v="239227"/>
    <n v="14680"/>
    <n v="3320"/>
    <n v="1838"/>
    <n v="874"/>
    <n v="144170.21"/>
    <n v="6122970.7599999998"/>
    <s v="Pan India"/>
    <n v="6.1364310884640947"/>
    <n v="9.8208589918256131"/>
    <n v="22.615803814713896"/>
    <n v="164.95447368421051"/>
    <n v="42.470429640076134"/>
  </r>
  <r>
    <d v="2025-09-04T00:00:00"/>
    <s v="AD002"/>
    <x v="4"/>
    <x v="4"/>
    <s v="21–35 Age"/>
    <n v="205200"/>
    <n v="14587"/>
    <n v="2970"/>
    <n v="1688"/>
    <n v="853"/>
    <n v="110816.95"/>
    <n v="5569954.6600000001"/>
    <s v="East India"/>
    <n v="7.1086744639376214"/>
    <n v="7.596966477000068"/>
    <n v="20.360595050387332"/>
    <n v="129.91436107854631"/>
    <n v="50.26265981873712"/>
  </r>
  <r>
    <d v="2025-09-05T00:00:00"/>
    <s v="AD002"/>
    <x v="4"/>
    <x v="4"/>
    <s v="21–35 Age"/>
    <n v="281976"/>
    <n v="15138"/>
    <n v="3583"/>
    <n v="1682"/>
    <n v="882"/>
    <n v="184334.8"/>
    <n v="5829281.5499999998"/>
    <s v="South India"/>
    <n v="5.3685420035747722"/>
    <n v="12.176958647113224"/>
    <n v="23.668912670101729"/>
    <n v="208.99637188208615"/>
    <n v="31.62333726458596"/>
  </r>
  <r>
    <d v="2025-09-06T00:00:00"/>
    <s v="AD002"/>
    <x v="4"/>
    <x v="4"/>
    <s v="21–35 Age"/>
    <n v="137599"/>
    <n v="10631"/>
    <n v="2329"/>
    <n v="1429"/>
    <n v="624"/>
    <n v="116671.7"/>
    <n v="1995280.37"/>
    <s v="Pan India"/>
    <n v="7.7260735906510947"/>
    <n v="10.97466842253786"/>
    <n v="21.907628633242403"/>
    <n v="186.97387820512819"/>
    <n v="17.101665356723181"/>
  </r>
  <r>
    <d v="2025-09-07T00:00:00"/>
    <s v="AD002"/>
    <x v="4"/>
    <x v="4"/>
    <s v="21–35 Age"/>
    <n v="197813"/>
    <n v="9162"/>
    <n v="1467"/>
    <n v="664"/>
    <n v="331"/>
    <n v="126646.91"/>
    <n v="2242704.0299999998"/>
    <s v="North India"/>
    <n v="4.6316470606077456"/>
    <n v="13.823063741541148"/>
    <n v="16.011787819253438"/>
    <n v="382.61906344410875"/>
    <n v="17.708320163516028"/>
  </r>
  <r>
    <d v="2025-09-08T00:00:00"/>
    <s v="AD002"/>
    <x v="4"/>
    <x v="4"/>
    <s v="21–35 Age"/>
    <n v="183517"/>
    <n v="8806"/>
    <n v="1894"/>
    <n v="1152"/>
    <n v="607"/>
    <n v="156011.44"/>
    <n v="3701255.37"/>
    <s v="West India"/>
    <n v="4.7984655372526799"/>
    <n v="17.716493300022712"/>
    <n v="21.508062684533272"/>
    <n v="257.02049423393743"/>
    <n v="23.724256182751727"/>
  </r>
  <r>
    <d v="2025-09-09T00:00:00"/>
    <s v="AD002"/>
    <x v="4"/>
    <x v="4"/>
    <s v="21–35 Age"/>
    <n v="92749"/>
    <n v="6844"/>
    <n v="1354"/>
    <n v="704"/>
    <n v="396"/>
    <n v="68351.570000000007"/>
    <n v="1710346.58"/>
    <s v="East India"/>
    <n v="7.3790552997875984"/>
    <n v="9.9870791934541217"/>
    <n v="19.78375219170076"/>
    <n v="172.60497474747476"/>
    <n v="25.022784114541917"/>
  </r>
  <r>
    <d v="2025-09-10T00:00:00"/>
    <s v="AD002"/>
    <x v="4"/>
    <x v="4"/>
    <s v="21–35 Age"/>
    <n v="242936"/>
    <n v="9558"/>
    <n v="1983"/>
    <n v="1172"/>
    <n v="687"/>
    <n v="221405.22"/>
    <n v="3264776.12"/>
    <s v="South India"/>
    <n v="3.9343695458886287"/>
    <n v="23.164387947269304"/>
    <n v="20.747018204645322"/>
    <n v="322.27834061135371"/>
    <n v="14.745705272892843"/>
  </r>
  <r>
    <d v="2025-09-11T00:00:00"/>
    <s v="AD002"/>
    <x v="4"/>
    <x v="4"/>
    <s v="21–35 Age"/>
    <n v="99617"/>
    <n v="3517"/>
    <n v="638"/>
    <n v="340"/>
    <n v="165"/>
    <n v="43282.33"/>
    <n v="505160.33"/>
    <s v="East India"/>
    <n v="3.5305218988726823"/>
    <n v="12.306605061131647"/>
    <n v="18.140460619846461"/>
    <n v="262.31715151515152"/>
    <n v="11.671283177222668"/>
  </r>
  <r>
    <d v="2025-09-12T00:00:00"/>
    <s v="AD002"/>
    <x v="4"/>
    <x v="4"/>
    <s v="21–35 Age"/>
    <n v="76637"/>
    <n v="3191"/>
    <n v="733"/>
    <n v="446"/>
    <n v="203"/>
    <n v="74481.25"/>
    <n v="656000.98"/>
    <s v="Pan India"/>
    <n v="4.1637851168495637"/>
    <n v="23.341037292384833"/>
    <n v="22.970855531181446"/>
    <n v="366.90270935960592"/>
    <n v="8.8075989594696651"/>
  </r>
  <r>
    <d v="2025-09-13T00:00:00"/>
    <s v="AD002"/>
    <x v="4"/>
    <x v="4"/>
    <s v="21–35 Age"/>
    <n v="166151"/>
    <n v="7773"/>
    <n v="1561"/>
    <n v="853"/>
    <n v="511"/>
    <n v="164748.20000000001"/>
    <n v="4031732.04"/>
    <s v="East India"/>
    <n v="4.6782745815553319"/>
    <n v="21.194931172005663"/>
    <n v="20.082336292293839"/>
    <n v="322.40352250489241"/>
    <n v="24.472085522026948"/>
  </r>
  <r>
    <d v="2025-09-14T00:00:00"/>
    <s v="AD002"/>
    <x v="4"/>
    <x v="4"/>
    <s v="21–35 Age"/>
    <n v="107335"/>
    <n v="5840"/>
    <n v="883"/>
    <n v="548"/>
    <n v="311"/>
    <n v="91579.99"/>
    <n v="1951223.87"/>
    <s v="West India"/>
    <n v="5.4409093026505797"/>
    <n v="15.681505136986303"/>
    <n v="15.11986301369863"/>
    <n v="294.46942122186499"/>
    <n v="21.306224973381195"/>
  </r>
  <r>
    <d v="2025-09-15T00:00:00"/>
    <s v="AD002"/>
    <x v="4"/>
    <x v="4"/>
    <s v="21–35 Age"/>
    <n v="132078"/>
    <n v="9148"/>
    <n v="2250"/>
    <n v="1070"/>
    <n v="580"/>
    <n v="89794.27"/>
    <n v="2201670.15"/>
    <s v="South India"/>
    <n v="6.9262102696891228"/>
    <n v="9.8157269348491472"/>
    <n v="24.595540008745083"/>
    <n v="154.81770689655173"/>
    <n v="24.519049489460741"/>
  </r>
  <r>
    <d v="2025-09-16T00:00:00"/>
    <s v="AD002"/>
    <x v="4"/>
    <x v="4"/>
    <s v="21–35 Age"/>
    <n v="101493"/>
    <n v="6771"/>
    <n v="1085"/>
    <n v="554"/>
    <n v="279"/>
    <n v="77121.89"/>
    <n v="992341.27"/>
    <s v="West India"/>
    <n v="6.6713960568709165"/>
    <n v="11.390029537734456"/>
    <n v="16.024220942253727"/>
    <n v="276.42254480286738"/>
    <n v="12.867180381601125"/>
  </r>
  <r>
    <d v="2025-09-17T00:00:00"/>
    <s v="AD002"/>
    <x v="4"/>
    <x v="4"/>
    <s v="21–35 Age"/>
    <n v="111983"/>
    <n v="6950"/>
    <n v="1441"/>
    <n v="658"/>
    <n v="268"/>
    <n v="90692.09"/>
    <n v="1466996.16"/>
    <s v="North India"/>
    <n v="6.2062991704097943"/>
    <n v="13.049221582733812"/>
    <n v="20.733812949640289"/>
    <n v="338.40332089552237"/>
    <n v="16.175569004970555"/>
  </r>
  <r>
    <d v="2025-09-18T00:00:00"/>
    <s v="AD002"/>
    <x v="4"/>
    <x v="4"/>
    <s v="21–35 Age"/>
    <n v="215192"/>
    <n v="7975"/>
    <n v="1358"/>
    <n v="818"/>
    <n v="362"/>
    <n v="93531.85"/>
    <n v="2116994.9300000002"/>
    <s v="North India"/>
    <n v="3.7059927878359789"/>
    <n v="11.728131661442006"/>
    <n v="17.028213166144202"/>
    <n v="258.37527624309394"/>
    <n v="22.633946938930428"/>
  </r>
  <r>
    <d v="2025-09-19T00:00:00"/>
    <s v="AD002"/>
    <x v="4"/>
    <x v="4"/>
    <s v="21–35 Age"/>
    <n v="261009"/>
    <n v="19792"/>
    <n v="4855"/>
    <n v="2851"/>
    <n v="1191"/>
    <n v="193741.4"/>
    <n v="8258758.7300000004"/>
    <s v="Pan India"/>
    <n v="7.5828802838216305"/>
    <n v="9.7888742926434915"/>
    <n v="24.53011317704123"/>
    <n v="162.67120067170444"/>
    <n v="42.627743631459261"/>
  </r>
  <r>
    <d v="2025-09-20T00:00:00"/>
    <s v="AD002"/>
    <x v="4"/>
    <x v="4"/>
    <s v="21–35 Age"/>
    <n v="197776"/>
    <n v="11695"/>
    <n v="1855"/>
    <n v="1099"/>
    <n v="619"/>
    <n v="120118.79"/>
    <n v="3111027.07"/>
    <s v="Pan India"/>
    <n v="5.9132554000485404"/>
    <n v="10.270952543822146"/>
    <n v="15.861479264643011"/>
    <n v="194.05297253634893"/>
    <n v="25.899587150353412"/>
  </r>
  <r>
    <d v="2025-09-21T00:00:00"/>
    <s v="AD002"/>
    <x v="4"/>
    <x v="4"/>
    <s v="21–35 Age"/>
    <n v="272006"/>
    <n v="16516"/>
    <n v="2535"/>
    <n v="1364"/>
    <n v="637"/>
    <n v="121243.02"/>
    <n v="4131056.57"/>
    <s v="Pan India"/>
    <n v="6.0719248840099116"/>
    <n v="7.3409433276822478"/>
    <n v="15.348752724630661"/>
    <n v="190.33441130298274"/>
    <n v="34.072531103233814"/>
  </r>
  <r>
    <d v="2025-09-22T00:00:00"/>
    <s v="AD002"/>
    <x v="4"/>
    <x v="4"/>
    <s v="21–35 Age"/>
    <n v="130283"/>
    <n v="4990"/>
    <n v="834"/>
    <n v="405"/>
    <n v="218"/>
    <n v="106682.68"/>
    <n v="987967.58"/>
    <s v="Pan India"/>
    <n v="3.8301236538919121"/>
    <n v="21.379294589178354"/>
    <n v="16.713426853707414"/>
    <n v="489.37009174311925"/>
    <n v="9.2608057840316729"/>
  </r>
  <r>
    <d v="2025-09-23T00:00:00"/>
    <s v="AD002"/>
    <x v="4"/>
    <x v="4"/>
    <s v="21–35 Age"/>
    <n v="135555"/>
    <n v="6016"/>
    <n v="1132"/>
    <n v="528"/>
    <n v="291"/>
    <n v="61223.53"/>
    <n v="2126629.7599999998"/>
    <s v="North India"/>
    <n v="4.4380509756187525"/>
    <n v="10.17678357712766"/>
    <n v="18.816489361702125"/>
    <n v="210.39013745704466"/>
    <n v="34.735497283479077"/>
  </r>
  <r>
    <d v="2025-09-24T00:00:00"/>
    <s v="AD002"/>
    <x v="4"/>
    <x v="4"/>
    <s v="21–35 Age"/>
    <n v="170800"/>
    <n v="9993"/>
    <n v="1997"/>
    <n v="1153"/>
    <n v="565"/>
    <n v="123954.87"/>
    <n v="3933314.72"/>
    <s v="North India"/>
    <n v="5.8507025761124121"/>
    <n v="12.404169918943261"/>
    <n v="19.983988792154509"/>
    <n v="219.38915044247787"/>
    <n v="31.731828850290434"/>
  </r>
  <r>
    <d v="2025-09-25T00:00:00"/>
    <s v="AD002"/>
    <x v="4"/>
    <x v="4"/>
    <s v="21–35 Age"/>
    <n v="216281"/>
    <n v="12275"/>
    <n v="2743"/>
    <n v="1436"/>
    <n v="761"/>
    <n v="153644.29999999999"/>
    <n v="4620519.83"/>
    <s v="Pan India"/>
    <n v="5.6754869822129548"/>
    <n v="12.516847250509164"/>
    <n v="22.346232179226071"/>
    <n v="201.89789750328512"/>
    <n v="30.072835959420562"/>
  </r>
  <r>
    <d v="2025-09-26T00:00:00"/>
    <s v="AD002"/>
    <x v="4"/>
    <x v="4"/>
    <s v="21–35 Age"/>
    <n v="288814"/>
    <n v="15144"/>
    <n v="3229"/>
    <n v="1667"/>
    <n v="717"/>
    <n v="184629.3"/>
    <n v="5541722.6600000001"/>
    <s v="East India"/>
    <n v="5.243513126094995"/>
    <n v="12.191580824088748"/>
    <n v="21.321975699947174"/>
    <n v="257.50251046025102"/>
    <n v="30.015401997407782"/>
  </r>
  <r>
    <d v="2025-09-27T00:00:00"/>
    <s v="AD002"/>
    <x v="4"/>
    <x v="4"/>
    <s v="21–35 Age"/>
    <n v="63287"/>
    <n v="2103"/>
    <n v="392"/>
    <n v="234"/>
    <n v="105"/>
    <n v="40525.230000000003"/>
    <n v="774682.1"/>
    <s v="West India"/>
    <n v="3.3229573214088202"/>
    <n v="19.270199714693298"/>
    <n v="18.640038040893963"/>
    <n v="385.95457142857146"/>
    <n v="19.116044498698709"/>
  </r>
  <r>
    <d v="2025-09-28T00:00:00"/>
    <s v="AD002"/>
    <x v="4"/>
    <x v="4"/>
    <s v="21–35 Age"/>
    <n v="84362"/>
    <n v="5530"/>
    <n v="851"/>
    <n v="502"/>
    <n v="294"/>
    <n v="70942.7"/>
    <n v="1046903.01"/>
    <s v="South India"/>
    <n v="6.5550840425784118"/>
    <n v="12.828698010849909"/>
    <n v="15.388788426763112"/>
    <n v="241.30170068027209"/>
    <n v="14.757022357480052"/>
  </r>
  <r>
    <d v="2025-09-29T00:00:00"/>
    <s v="AD002"/>
    <x v="4"/>
    <x v="4"/>
    <s v="21–35 Age"/>
    <n v="183268"/>
    <n v="7046"/>
    <n v="1579"/>
    <n v="810"/>
    <n v="481"/>
    <n v="179224.85"/>
    <n v="2698270.88"/>
    <s v="East India"/>
    <n v="3.8446428181679289"/>
    <n v="25.436396537042295"/>
    <n v="22.409877944933296"/>
    <n v="372.60883575883577"/>
    <n v="15.0552274419535"/>
  </r>
  <r>
    <d v="2025-09-30T00:00:00"/>
    <s v="AD002"/>
    <x v="4"/>
    <x v="4"/>
    <s v="21–35 Age"/>
    <n v="262678"/>
    <n v="8632"/>
    <n v="1659"/>
    <n v="1014"/>
    <n v="452"/>
    <n v="114033.33"/>
    <n v="3043417.73"/>
    <s v="South India"/>
    <n v="3.2861526279322977"/>
    <n v="13.210534059314179"/>
    <n v="19.219184430027802"/>
    <n v="252.28612831858408"/>
    <n v="26.688843779270499"/>
  </r>
  <r>
    <d v="2025-10-01T00:00:00"/>
    <s v="AD002"/>
    <x v="4"/>
    <x v="4"/>
    <s v="21–35 Age"/>
    <n v="96963"/>
    <n v="4818"/>
    <n v="1033"/>
    <n v="523"/>
    <n v="239"/>
    <n v="77182.98"/>
    <n v="921080.74"/>
    <s v="West India"/>
    <n v="4.968905665047493"/>
    <n v="16.019713574097135"/>
    <n v="21.440431714404319"/>
    <n v="322.94133891213386"/>
    <n v="11.933728653648771"/>
  </r>
  <r>
    <d v="2025-10-02T00:00:00"/>
    <s v="AD002"/>
    <x v="4"/>
    <x v="4"/>
    <s v="21–35 Age"/>
    <n v="238932"/>
    <n v="17897"/>
    <n v="3400"/>
    <n v="1696"/>
    <n v="835"/>
    <n v="154238.89000000001"/>
    <n v="3986006.43"/>
    <s v="South India"/>
    <n v="7.4904156831232322"/>
    <n v="8.618142146728502"/>
    <n v="18.997597362686484"/>
    <n v="184.71723353293416"/>
    <n v="25.843069993566473"/>
  </r>
  <r>
    <d v="2025-10-03T00:00:00"/>
    <s v="AD002"/>
    <x v="4"/>
    <x v="4"/>
    <s v="21–35 Age"/>
    <n v="86613"/>
    <n v="4270"/>
    <n v="804"/>
    <n v="520"/>
    <n v="293"/>
    <n v="81879.25"/>
    <n v="2002746.27"/>
    <s v="South India"/>
    <n v="4.9299758696731439"/>
    <n v="19.175468384074943"/>
    <n v="18.829039812646371"/>
    <n v="279.45136518771329"/>
    <n v="24.459753478445393"/>
  </r>
  <r>
    <d v="2025-10-04T00:00:00"/>
    <s v="AD002"/>
    <x v="4"/>
    <x v="4"/>
    <s v="21–35 Age"/>
    <n v="133105"/>
    <n v="6571"/>
    <n v="1269"/>
    <n v="758"/>
    <n v="414"/>
    <n v="125866.36"/>
    <n v="2149460.89"/>
    <s v="East India"/>
    <n v="4.9367041057811498"/>
    <n v="19.154825749505402"/>
    <n v="19.31212905189469"/>
    <n v="304.02502415458935"/>
    <n v="17.077326221239733"/>
  </r>
  <r>
    <d v="2025-10-05T00:00:00"/>
    <s v="AD002"/>
    <x v="4"/>
    <x v="4"/>
    <s v="21–35 Age"/>
    <n v="277734"/>
    <n v="16825"/>
    <n v="4065"/>
    <n v="1971"/>
    <n v="1056"/>
    <n v="248427.75"/>
    <n v="5043350.97"/>
    <s v="North India"/>
    <n v="6.0579547336660262"/>
    <n v="14.765393759286775"/>
    <n v="24.160475482912332"/>
    <n v="235.25355113636363"/>
    <n v="20.301077355488665"/>
  </r>
  <r>
    <d v="2025-10-06T00:00:00"/>
    <s v="AD002"/>
    <x v="4"/>
    <x v="4"/>
    <s v="21–35 Age"/>
    <n v="116985"/>
    <n v="8242"/>
    <n v="1752"/>
    <n v="845"/>
    <n v="384"/>
    <n v="92101.9"/>
    <n v="2994088.87"/>
    <s v="West India"/>
    <n v="7.0453476941488224"/>
    <n v="11.174702742052899"/>
    <n v="21.256976462023779"/>
    <n v="239.84869791666665"/>
    <n v="32.50843761095048"/>
  </r>
  <r>
    <d v="2025-10-07T00:00:00"/>
    <s v="AD002"/>
    <x v="4"/>
    <x v="4"/>
    <s v="21–35 Age"/>
    <n v="229002"/>
    <n v="17513"/>
    <n v="3683"/>
    <n v="2365"/>
    <n v="1189"/>
    <n v="161077.87"/>
    <n v="9344118.6600000001"/>
    <s v="East India"/>
    <n v="7.6475314626073141"/>
    <n v="9.1976171986524289"/>
    <n v="21.030091931707876"/>
    <n v="135.47339781328847"/>
    <n v="58.009946741908124"/>
  </r>
  <r>
    <d v="2025-10-08T00:00:00"/>
    <s v="AD002"/>
    <x v="4"/>
    <x v="4"/>
    <s v="21–35 Age"/>
    <n v="190424"/>
    <n v="10827"/>
    <n v="2153"/>
    <n v="1389"/>
    <n v="633"/>
    <n v="105225"/>
    <n v="3490888.31"/>
    <s v="Pan India"/>
    <n v="5.6857328908120826"/>
    <n v="9.7187586589082855"/>
    <n v="19.885471506419137"/>
    <n v="166.23222748815166"/>
    <n v="33.175465051081019"/>
  </r>
  <r>
    <d v="2025-10-09T00:00:00"/>
    <s v="AD002"/>
    <x v="4"/>
    <x v="4"/>
    <s v="21–35 Age"/>
    <n v="110972"/>
    <n v="4268"/>
    <n v="982"/>
    <n v="454"/>
    <n v="200"/>
    <n v="97229.71"/>
    <n v="1191628"/>
    <s v="East India"/>
    <n v="3.8460152110442269"/>
    <n v="22.781094189315841"/>
    <n v="23.008434864104967"/>
    <n v="486.14855000000006"/>
    <n v="12.255801236062515"/>
  </r>
  <r>
    <d v="2025-10-10T00:00:00"/>
    <s v="AD002"/>
    <x v="4"/>
    <x v="4"/>
    <s v="21–35 Age"/>
    <n v="90691"/>
    <n v="6497"/>
    <n v="1168"/>
    <n v="594"/>
    <n v="242"/>
    <n v="54234.25"/>
    <n v="815080.48"/>
    <s v="Pan India"/>
    <n v="7.1638861629048094"/>
    <n v="8.3475835000769578"/>
    <n v="17.977528089887642"/>
    <n v="224.10847107438016"/>
    <n v="15.028888202565721"/>
  </r>
  <r>
    <d v="2025-10-11T00:00:00"/>
    <s v="AD002"/>
    <x v="4"/>
    <x v="4"/>
    <s v="21–35 Age"/>
    <n v="58157"/>
    <n v="3232"/>
    <n v="534"/>
    <n v="257"/>
    <n v="110"/>
    <n v="53956"/>
    <n v="475326.81"/>
    <s v="East India"/>
    <n v="5.5573705658820094"/>
    <n v="16.69430693069307"/>
    <n v="16.522277227722775"/>
    <n v="490.5090909090909"/>
    <n v="8.8095264660093413"/>
  </r>
  <r>
    <d v="2025-10-12T00:00:00"/>
    <s v="AD002"/>
    <x v="4"/>
    <x v="4"/>
    <s v="21–35 Age"/>
    <n v="135976"/>
    <n v="10257"/>
    <n v="1702"/>
    <n v="1092"/>
    <n v="457"/>
    <n v="95285.119999999995"/>
    <n v="1968745.07"/>
    <s v="Pan India"/>
    <n v="7.5432429252220974"/>
    <n v="9.2897650385102857"/>
    <n v="16.593545871112411"/>
    <n v="208.5013566739606"/>
    <n v="20.661621352840822"/>
  </r>
  <r>
    <d v="2025-10-13T00:00:00"/>
    <s v="AD002"/>
    <x v="4"/>
    <x v="4"/>
    <s v="21–35 Age"/>
    <n v="75257"/>
    <n v="2399"/>
    <n v="411"/>
    <n v="199"/>
    <n v="112"/>
    <n v="34218.43"/>
    <n v="450838.11"/>
    <s v="East India"/>
    <n v="3.1877433328461136"/>
    <n v="14.263622342642767"/>
    <n v="17.13213839099625"/>
    <n v="305.52169642857143"/>
    <n v="13.175300853955017"/>
  </r>
  <r>
    <d v="2025-10-14T00:00:00"/>
    <s v="AD002"/>
    <x v="4"/>
    <x v="4"/>
    <s v="21–35 Age"/>
    <n v="198364"/>
    <n v="13118"/>
    <n v="1984"/>
    <n v="1175"/>
    <n v="480"/>
    <n v="91490.04"/>
    <n v="2452250.17"/>
    <s v="West India"/>
    <n v="6.6130951180657771"/>
    <n v="6.9743893886263146"/>
    <n v="15.124256746455252"/>
    <n v="190.60424999999998"/>
    <n v="26.803465929187485"/>
  </r>
  <r>
    <d v="2025-10-15T00:00:00"/>
    <s v="AD002"/>
    <x v="4"/>
    <x v="4"/>
    <s v="21–35 Age"/>
    <n v="295919"/>
    <n v="17609"/>
    <n v="3372"/>
    <n v="1885"/>
    <n v="798"/>
    <n v="153865.01999999999"/>
    <n v="5620586.3600000003"/>
    <s v="West India"/>
    <n v="5.9506148642027048"/>
    <n v="8.737862456698279"/>
    <n v="19.149298654097336"/>
    <n v="192.81330827067669"/>
    <n v="36.529331748047738"/>
  </r>
  <r>
    <d v="2025-10-16T00:00:00"/>
    <s v="AD002"/>
    <x v="4"/>
    <x v="4"/>
    <s v="21–35 Age"/>
    <n v="219192"/>
    <n v="9561"/>
    <n v="2253"/>
    <n v="1253"/>
    <n v="681"/>
    <n v="111858.16"/>
    <n v="2520660.98"/>
    <s v="East India"/>
    <n v="4.3619292674915142"/>
    <n v="11.699420562702647"/>
    <n v="23.564480702855349"/>
    <n v="164.2557415565345"/>
    <n v="22.534439865629828"/>
  </r>
  <r>
    <d v="2025-10-17T00:00:00"/>
    <s v="AD002"/>
    <x v="4"/>
    <x v="4"/>
    <s v="21–35 Age"/>
    <n v="274932"/>
    <n v="19134"/>
    <n v="4243"/>
    <n v="2579"/>
    <n v="1097"/>
    <n v="235450.39"/>
    <n v="5481451.6699999999"/>
    <s v="North India"/>
    <n v="6.9595390860285447"/>
    <n v="12.305340754677538"/>
    <n v="22.175185533605102"/>
    <n v="214.63116681859617"/>
    <n v="23.28070754098135"/>
  </r>
  <r>
    <d v="2025-10-18T00:00:00"/>
    <s v="AD002"/>
    <x v="4"/>
    <x v="4"/>
    <s v="21–35 Age"/>
    <n v="73891"/>
    <n v="5322"/>
    <n v="940"/>
    <n v="560"/>
    <n v="325"/>
    <n v="30551.39"/>
    <n v="1890046.69"/>
    <s v="East India"/>
    <n v="7.2025009811749738"/>
    <n v="5.7405843667794061"/>
    <n v="17.662532882375046"/>
    <n v="94.004276923076915"/>
    <n v="61.864507310469342"/>
  </r>
  <r>
    <d v="2025-10-19T00:00:00"/>
    <s v="AD002"/>
    <x v="4"/>
    <x v="4"/>
    <s v="21–35 Age"/>
    <n v="78968"/>
    <n v="2541"/>
    <n v="471"/>
    <n v="249"/>
    <n v="121"/>
    <n v="54841.39"/>
    <n v="399316.55"/>
    <s v="North India"/>
    <n v="3.2177590922905481"/>
    <n v="21.582601338055884"/>
    <n v="18.536009445100355"/>
    <n v="453.23462809917356"/>
    <n v="7.2812988511049772"/>
  </r>
  <r>
    <d v="2025-10-20T00:00:00"/>
    <s v="AD002"/>
    <x v="4"/>
    <x v="4"/>
    <s v="21–35 Age"/>
    <n v="260789"/>
    <n v="14483"/>
    <n v="2729"/>
    <n v="1300"/>
    <n v="685"/>
    <n v="217576.56"/>
    <n v="2824586.55"/>
    <s v="West India"/>
    <n v="5.5535317823987977"/>
    <n v="15.022893047020645"/>
    <n v="18.842781191742041"/>
    <n v="317.63001459854013"/>
    <n v="12.98203515121298"/>
  </r>
  <r>
    <d v="2025-10-21T00:00:00"/>
    <s v="AD002"/>
    <x v="4"/>
    <x v="4"/>
    <s v="21–35 Age"/>
    <n v="134380"/>
    <n v="6252"/>
    <n v="1300"/>
    <n v="685"/>
    <n v="354"/>
    <n v="132525.26"/>
    <n v="2665107.4900000002"/>
    <s v="South India"/>
    <n v="4.6524780473284713"/>
    <n v="21.197258477287271"/>
    <n v="20.793346129238643"/>
    <n v="374.36514124293785"/>
    <n v="20.110184956437738"/>
  </r>
  <r>
    <d v="2025-10-22T00:00:00"/>
    <s v="AD002"/>
    <x v="4"/>
    <x v="4"/>
    <s v="21–35 Age"/>
    <n v="287916"/>
    <n v="10349"/>
    <n v="1738"/>
    <n v="838"/>
    <n v="398"/>
    <n v="115613.02"/>
    <n v="1867784.24"/>
    <s v="Pan India"/>
    <n v="3.5944511593659261"/>
    <n v="11.171419460817472"/>
    <n v="16.793893129770993"/>
    <n v="290.48497487437186"/>
    <n v="16.155483525990412"/>
  </r>
  <r>
    <d v="2025-10-23T00:00:00"/>
    <s v="AD002"/>
    <x v="4"/>
    <x v="4"/>
    <s v="21–35 Age"/>
    <n v="216575"/>
    <n v="12444"/>
    <n v="2477"/>
    <n v="1587"/>
    <n v="674"/>
    <n v="147196.81"/>
    <n v="4576963.63"/>
    <s v="East India"/>
    <n v="5.7458155373427218"/>
    <n v="11.828737544198006"/>
    <n v="19.905175184828032"/>
    <n v="218.39289317507419"/>
    <n v="31.09417676918406"/>
  </r>
  <r>
    <d v="2025-10-24T00:00:00"/>
    <s v="AD002"/>
    <x v="4"/>
    <x v="4"/>
    <s v="21–35 Age"/>
    <n v="71172"/>
    <n v="4222"/>
    <n v="908"/>
    <n v="490"/>
    <n v="236"/>
    <n v="46274.85"/>
    <n v="1760206.67"/>
    <s v="North India"/>
    <n v="5.9321081324116225"/>
    <n v="10.960409758408337"/>
    <n v="21.506395073424915"/>
    <n v="196.07987288135593"/>
    <n v="38.038084834418697"/>
  </r>
  <r>
    <d v="2025-10-25T00:00:00"/>
    <s v="AD002"/>
    <x v="4"/>
    <x v="4"/>
    <s v="21–35 Age"/>
    <n v="198682"/>
    <n v="8609"/>
    <n v="1832"/>
    <n v="1094"/>
    <n v="574"/>
    <n v="80603.11"/>
    <n v="1777848.23"/>
    <s v="South India"/>
    <n v="4.3330548313385213"/>
    <n v="9.3626565222441638"/>
    <n v="21.2800557556046"/>
    <n v="140.42353658536587"/>
    <n v="22.056819271613712"/>
  </r>
  <r>
    <d v="2025-10-26T00:00:00"/>
    <s v="AD002"/>
    <x v="4"/>
    <x v="4"/>
    <s v="21–35 Age"/>
    <n v="87021"/>
    <n v="6502"/>
    <n v="1617"/>
    <n v="998"/>
    <n v="494"/>
    <n v="46482.66"/>
    <n v="2244803.69"/>
    <s v="Pan India"/>
    <n v="7.4717596901897245"/>
    <n v="7.1489787757613046"/>
    <n v="24.86927099354045"/>
    <n v="94.094453441295556"/>
    <n v="48.293356920623729"/>
  </r>
  <r>
    <d v="2025-10-27T00:00:00"/>
    <s v="AD002"/>
    <x v="4"/>
    <x v="4"/>
    <s v="21–35 Age"/>
    <n v="277676"/>
    <n v="18342"/>
    <n v="3757"/>
    <n v="2032"/>
    <n v="1017"/>
    <n v="242232.32000000001"/>
    <n v="5399981.2699999996"/>
    <s v="South India"/>
    <n v="6.6055402699549113"/>
    <n v="13.206428960854868"/>
    <n v="20.483044379020825"/>
    <n v="238.18320550639135"/>
    <n v="22.292571321613892"/>
  </r>
  <r>
    <d v="2025-10-28T00:00:00"/>
    <s v="AD002"/>
    <x v="4"/>
    <x v="4"/>
    <s v="21–35 Age"/>
    <n v="132019"/>
    <n v="9429"/>
    <n v="2004"/>
    <n v="1029"/>
    <n v="542"/>
    <n v="129503.53"/>
    <n v="3403497"/>
    <s v="West India"/>
    <n v="7.1421537808951747"/>
    <n v="13.734598578852477"/>
    <n v="21.25357938275533"/>
    <n v="238.93640221402214"/>
    <n v="26.281113727170219"/>
  </r>
  <r>
    <d v="2025-10-29T00:00:00"/>
    <s v="AD002"/>
    <x v="4"/>
    <x v="4"/>
    <s v="21–35 Age"/>
    <n v="89527"/>
    <n v="5616"/>
    <n v="865"/>
    <n v="507"/>
    <n v="215"/>
    <n v="79011.86"/>
    <n v="1224216.24"/>
    <s v="West India"/>
    <n v="6.2729679314620173"/>
    <n v="14.06906339031339"/>
    <n v="15.402421652421653"/>
    <n v="367.49702325581393"/>
    <n v="15.494082027685463"/>
  </r>
  <r>
    <d v="2025-10-30T00:00:00"/>
    <s v="AD002"/>
    <x v="4"/>
    <x v="4"/>
    <s v="21–35 Age"/>
    <n v="232419"/>
    <n v="17670"/>
    <n v="3031"/>
    <n v="1638"/>
    <n v="975"/>
    <n v="200506.15"/>
    <n v="7007981.2999999998"/>
    <s v="East India"/>
    <n v="7.6026486646960878"/>
    <n v="11.347263723825693"/>
    <n v="17.153367289190719"/>
    <n v="205.64733333333334"/>
    <n v="34.951453110041761"/>
  </r>
  <r>
    <d v="2025-10-31T00:00:00"/>
    <s v="AD002"/>
    <x v="4"/>
    <x v="4"/>
    <s v="21–35 Age"/>
    <n v="267804"/>
    <n v="19472"/>
    <n v="4863"/>
    <n v="2431"/>
    <n v="1100"/>
    <n v="251059.32"/>
    <n v="6675311.6799999997"/>
    <s v="Pan India"/>
    <n v="7.2709892309300832"/>
    <n v="12.893350451930978"/>
    <n v="24.974322103533279"/>
    <n v="228.23574545454545"/>
    <n v="26.58858344713113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3">
  <r>
    <d v="2024-01-01T00:00:00"/>
    <s v="AD004"/>
    <x v="0"/>
    <x v="0"/>
    <x v="0"/>
    <n v="285708"/>
    <n v="16956"/>
    <n v="4087"/>
    <n v="2547"/>
    <n v="1148"/>
    <n v="275457.87"/>
    <x v="0"/>
    <x v="0"/>
    <n v="5.9347305640724093"/>
    <n v="16.245451167728238"/>
    <n v="24.103562160887002"/>
    <n v="239.94587979094075"/>
    <n v="16.756965557019665"/>
  </r>
  <r>
    <d v="2024-01-02T00:00:00"/>
    <s v="AD004"/>
    <x v="0"/>
    <x v="0"/>
    <x v="0"/>
    <n v="140449"/>
    <n v="10082"/>
    <n v="1815"/>
    <n v="951"/>
    <n v="565"/>
    <n v="133025.85999999999"/>
    <x v="1"/>
    <x v="1"/>
    <n v="7.1784063966279579"/>
    <n v="13.194391985717118"/>
    <n v="18.002380480063479"/>
    <n v="235.44399999999999"/>
    <n v="26.40967628399471"/>
  </r>
  <r>
    <d v="2024-01-03T00:00:00"/>
    <s v="AD004"/>
    <x v="0"/>
    <x v="0"/>
    <x v="0"/>
    <n v="140958"/>
    <n v="7474"/>
    <n v="1169"/>
    <n v="683"/>
    <n v="343"/>
    <n v="135765.60999999999"/>
    <x v="2"/>
    <x v="1"/>
    <n v="5.3022886249804904"/>
    <n v="18.165053518865399"/>
    <n v="15.640888413165641"/>
    <n v="395.8181049562682"/>
    <n v="7.7480952650674935"/>
  </r>
  <r>
    <d v="2024-01-04T00:00:00"/>
    <s v="AD004"/>
    <x v="0"/>
    <x v="0"/>
    <x v="1"/>
    <n v="257823"/>
    <n v="16841"/>
    <n v="3179"/>
    <n v="1584"/>
    <n v="698"/>
    <n v="229715.44"/>
    <x v="3"/>
    <x v="0"/>
    <n v="6.5320006360953062"/>
    <n v="13.640249391366309"/>
    <n v="18.876551273677336"/>
    <n v="329.10521489971347"/>
    <n v="16.762650172752863"/>
  </r>
  <r>
    <d v="2024-01-05T00:00:00"/>
    <s v="AD004"/>
    <x v="0"/>
    <x v="0"/>
    <x v="2"/>
    <n v="98595"/>
    <n v="7293"/>
    <n v="1340"/>
    <n v="854"/>
    <n v="368"/>
    <n v="52360.959999999999"/>
    <x v="4"/>
    <x v="0"/>
    <n v="7.3969268218469502"/>
    <n v="7.1796188125599887"/>
    <n v="18.373783079665433"/>
    <n v="142.28521739130434"/>
    <n v="29.473540210110741"/>
  </r>
  <r>
    <d v="2024-01-06T00:00:00"/>
    <s v="AD004"/>
    <x v="0"/>
    <x v="0"/>
    <x v="1"/>
    <n v="68114"/>
    <n v="5377"/>
    <n v="909"/>
    <n v="505"/>
    <n v="222"/>
    <n v="27454.35"/>
    <x v="5"/>
    <x v="1"/>
    <n v="7.8941186833837387"/>
    <n v="5.1058861818858094"/>
    <n v="16.905337548819045"/>
    <n v="123.66824324324324"/>
    <n v="62.546150610012624"/>
  </r>
  <r>
    <d v="2024-01-07T00:00:00"/>
    <s v="AD004"/>
    <x v="0"/>
    <x v="0"/>
    <x v="0"/>
    <n v="175572"/>
    <n v="6855"/>
    <n v="1452"/>
    <n v="757"/>
    <n v="346"/>
    <n v="95497.97"/>
    <x v="6"/>
    <x v="2"/>
    <n v="3.9043811086050164"/>
    <n v="13.931140773158278"/>
    <n v="21.181619256017505"/>
    <n v="276.00569364161851"/>
    <n v="27.213222647559942"/>
  </r>
  <r>
    <d v="2024-01-08T00:00:00"/>
    <s v="AD004"/>
    <x v="0"/>
    <x v="0"/>
    <x v="1"/>
    <n v="231966"/>
    <n v="9373"/>
    <n v="1934"/>
    <n v="1247"/>
    <n v="553"/>
    <n v="175649"/>
    <x v="7"/>
    <x v="0"/>
    <n v="4.0406783752791355"/>
    <n v="18.739891176784379"/>
    <n v="20.633735196841993"/>
    <n v="317.62929475587703"/>
    <n v="14.568579098087664"/>
  </r>
  <r>
    <d v="2024-01-09T00:00:00"/>
    <s v="AD004"/>
    <x v="0"/>
    <x v="0"/>
    <x v="0"/>
    <n v="281339"/>
    <n v="12310"/>
    <n v="2329"/>
    <n v="1319"/>
    <n v="734"/>
    <n v="126723.85"/>
    <x v="8"/>
    <x v="0"/>
    <n v="4.3755042848663006"/>
    <n v="10.294382615759545"/>
    <n v="18.919577579203899"/>
    <n v="172.6482970027248"/>
    <n v="33.661580120869118"/>
  </r>
  <r>
    <d v="2024-01-10T00:00:00"/>
    <s v="AD004"/>
    <x v="0"/>
    <x v="0"/>
    <x v="1"/>
    <n v="98805"/>
    <n v="6952"/>
    <n v="1479"/>
    <n v="955"/>
    <n v="455"/>
    <n v="49446.12"/>
    <x v="9"/>
    <x v="1"/>
    <n v="7.0360811699812755"/>
    <n v="7.1125028768699661"/>
    <n v="21.274453394706562"/>
    <n v="108.67279120879121"/>
    <n v="60.923486817570314"/>
  </r>
  <r>
    <d v="2024-01-11T00:00:00"/>
    <s v="AD004"/>
    <x v="0"/>
    <x v="0"/>
    <x v="2"/>
    <n v="144093"/>
    <n v="11451"/>
    <n v="1776"/>
    <n v="934"/>
    <n v="480"/>
    <n v="104177.45"/>
    <x v="10"/>
    <x v="1"/>
    <n v="7.9469509275259727"/>
    <n v="9.0976726923412805"/>
    <n v="15.509562483625885"/>
    <n v="217.03635416666665"/>
    <n v="16.540180624501751"/>
  </r>
  <r>
    <d v="2024-01-12T00:00:00"/>
    <s v="AD004"/>
    <x v="0"/>
    <x v="0"/>
    <x v="2"/>
    <n v="158894"/>
    <n v="6588"/>
    <n v="1470"/>
    <n v="867"/>
    <n v="405"/>
    <n v="102314.09"/>
    <x v="11"/>
    <x v="3"/>
    <n v="4.1461603333039641"/>
    <n v="15.530371888281724"/>
    <n v="22.313296903460838"/>
    <n v="252.62738271604937"/>
    <n v="30.111986433149141"/>
  </r>
  <r>
    <d v="2024-01-13T00:00:00"/>
    <s v="AD004"/>
    <x v="0"/>
    <x v="0"/>
    <x v="2"/>
    <n v="66250"/>
    <n v="4921"/>
    <n v="871"/>
    <n v="392"/>
    <n v="210"/>
    <n v="51283.71"/>
    <x v="12"/>
    <x v="1"/>
    <n v="7.4279245283018867"/>
    <n v="10.421400121926437"/>
    <n v="17.699654541759806"/>
    <n v="244.20814285714286"/>
    <n v="29.159864019198299"/>
  </r>
  <r>
    <d v="2024-01-14T00:00:00"/>
    <s v="AD004"/>
    <x v="0"/>
    <x v="0"/>
    <x v="2"/>
    <n v="146445"/>
    <n v="6570"/>
    <n v="1466"/>
    <n v="803"/>
    <n v="436"/>
    <n v="60478.27"/>
    <x v="13"/>
    <x v="0"/>
    <n v="4.4863259244084812"/>
    <n v="9.2052161339421605"/>
    <n v="22.313546423135463"/>
    <n v="138.71162844036695"/>
    <n v="34.84167768026434"/>
  </r>
  <r>
    <d v="2024-01-15T00:00:00"/>
    <s v="AD004"/>
    <x v="0"/>
    <x v="0"/>
    <x v="1"/>
    <n v="95097"/>
    <n v="7359"/>
    <n v="1754"/>
    <n v="1030"/>
    <n v="512"/>
    <n v="47007.7"/>
    <x v="14"/>
    <x v="4"/>
    <n v="7.7384144610240071"/>
    <n v="6.3877836662590024"/>
    <n v="23.834760157630114"/>
    <n v="91.811914062499994"/>
    <n v="46.264713015101783"/>
  </r>
  <r>
    <d v="2024-01-16T00:00:00"/>
    <s v="AD004"/>
    <x v="0"/>
    <x v="0"/>
    <x v="0"/>
    <n v="234993"/>
    <n v="13461"/>
    <n v="2316"/>
    <n v="1322"/>
    <n v="778"/>
    <n v="118803.89"/>
    <x v="15"/>
    <x v="4"/>
    <n v="5.7282557352772212"/>
    <n v="8.8257848599658271"/>
    <n v="17.205259638956989"/>
    <n v="152.70422879177377"/>
    <n v="30.290570704376766"/>
  </r>
  <r>
    <d v="2024-01-17T00:00:00"/>
    <s v="AD004"/>
    <x v="0"/>
    <x v="0"/>
    <x v="2"/>
    <n v="72601"/>
    <n v="4823"/>
    <n v="859"/>
    <n v="471"/>
    <n v="224"/>
    <n v="65231.88"/>
    <x v="16"/>
    <x v="0"/>
    <n v="6.6431591851351905"/>
    <n v="13.525166908563135"/>
    <n v="17.810491395397055"/>
    <n v="291.21375"/>
    <n v="23.621245317473605"/>
  </r>
  <r>
    <d v="2024-01-18T00:00:00"/>
    <s v="AD004"/>
    <x v="0"/>
    <x v="0"/>
    <x v="0"/>
    <n v="64854"/>
    <n v="3268"/>
    <n v="774"/>
    <n v="379"/>
    <n v="187"/>
    <n v="29837.69"/>
    <x v="17"/>
    <x v="4"/>
    <n v="5.0390107009590777"/>
    <n v="9.1302600979192157"/>
    <n v="23.684210526315788"/>
    <n v="159.55983957219252"/>
    <n v="38.036949911336968"/>
  </r>
  <r>
    <d v="2024-01-19T00:00:00"/>
    <s v="AD004"/>
    <x v="0"/>
    <x v="0"/>
    <x v="2"/>
    <n v="140767"/>
    <n v="7435"/>
    <n v="1316"/>
    <n v="748"/>
    <n v="419"/>
    <n v="134777.68"/>
    <x v="18"/>
    <x v="3"/>
    <n v="5.2817776893732198"/>
    <n v="18.127462004034967"/>
    <n v="17.700067249495628"/>
    <n v="321.66510739856801"/>
    <n v="16.072538049326862"/>
  </r>
  <r>
    <d v="2024-01-20T00:00:00"/>
    <s v="AD004"/>
    <x v="0"/>
    <x v="0"/>
    <x v="1"/>
    <n v="102564"/>
    <n v="4036"/>
    <n v="954"/>
    <n v="619"/>
    <n v="352"/>
    <n v="51435.05"/>
    <x v="19"/>
    <x v="0"/>
    <n v="3.935103935103935"/>
    <n v="12.744065906838454"/>
    <n v="23.637264618434092"/>
    <n v="146.12230113636363"/>
    <n v="53.254301298433653"/>
  </r>
  <r>
    <d v="2024-01-21T00:00:00"/>
    <s v="AD004"/>
    <x v="0"/>
    <x v="0"/>
    <x v="2"/>
    <n v="99366"/>
    <n v="6149"/>
    <n v="1025"/>
    <n v="585"/>
    <n v="331"/>
    <n v="39928.53"/>
    <x v="20"/>
    <x v="2"/>
    <n v="6.1882333997544432"/>
    <n v="6.4934997560578953"/>
    <n v="16.669377134493413"/>
    <n v="120.63"/>
    <n v="51.128694194351759"/>
  </r>
  <r>
    <d v="2024-01-22T00:00:00"/>
    <s v="AD004"/>
    <x v="0"/>
    <x v="0"/>
    <x v="0"/>
    <n v="130732"/>
    <n v="9877"/>
    <n v="1815"/>
    <n v="1127"/>
    <n v="550"/>
    <n v="65158.43"/>
    <x v="21"/>
    <x v="3"/>
    <n v="7.5551509959306067"/>
    <n v="6.5969859269008806"/>
    <n v="18.376025108838718"/>
    <n v="118.46987272727273"/>
    <n v="41.54975204282853"/>
  </r>
  <r>
    <d v="2024-01-23T00:00:00"/>
    <s v="AD004"/>
    <x v="0"/>
    <x v="0"/>
    <x v="1"/>
    <n v="60282"/>
    <n v="3890"/>
    <n v="823"/>
    <n v="440"/>
    <n v="184"/>
    <n v="50617.5"/>
    <x v="22"/>
    <x v="2"/>
    <n v="6.4530042135297432"/>
    <n v="13.012210796915166"/>
    <n v="21.156812339331619"/>
    <n v="275.09510869565219"/>
    <n v="26.3199591050526"/>
  </r>
  <r>
    <d v="2024-01-24T00:00:00"/>
    <s v="AD004"/>
    <x v="0"/>
    <x v="0"/>
    <x v="1"/>
    <n v="227987"/>
    <n v="9955"/>
    <n v="2151"/>
    <n v="1233"/>
    <n v="739"/>
    <n v="116682"/>
    <x v="23"/>
    <x v="1"/>
    <n v="4.3664770359713492"/>
    <n v="11.720944249121045"/>
    <n v="21.607232546459066"/>
    <n v="157.89174560216509"/>
    <n v="37.014438388097567"/>
  </r>
  <r>
    <d v="2024-01-25T00:00:00"/>
    <s v="AD004"/>
    <x v="0"/>
    <x v="0"/>
    <x v="1"/>
    <n v="272168"/>
    <n v="16989"/>
    <n v="3561"/>
    <n v="1864"/>
    <n v="959"/>
    <n v="166206.38"/>
    <x v="24"/>
    <x v="0"/>
    <n v="6.2421004673583962"/>
    <n v="9.783176172817706"/>
    <n v="20.960621578668551"/>
    <n v="173.31217935349324"/>
    <n v="26.773237525539027"/>
  </r>
  <r>
    <d v="2024-01-26T00:00:00"/>
    <s v="AD004"/>
    <x v="0"/>
    <x v="0"/>
    <x v="0"/>
    <n v="264817"/>
    <n v="10684"/>
    <n v="1820"/>
    <n v="1080"/>
    <n v="558"/>
    <n v="178964.33"/>
    <x v="25"/>
    <x v="1"/>
    <n v="4.0344841909696134"/>
    <n v="16.750686072631972"/>
    <n v="17.034818420067392"/>
    <n v="320.72460573476701"/>
    <n v="16.534646652771535"/>
  </r>
  <r>
    <d v="2024-01-27T00:00:00"/>
    <s v="AD004"/>
    <x v="0"/>
    <x v="0"/>
    <x v="1"/>
    <n v="296970"/>
    <n v="16468"/>
    <n v="3817"/>
    <n v="2120"/>
    <n v="1220"/>
    <n v="288391.33"/>
    <x v="26"/>
    <x v="3"/>
    <n v="5.5453412802640001"/>
    <n v="17.512225528297304"/>
    <n v="23.178285159096429"/>
    <n v="236.38633606557377"/>
    <n v="22.786742410044017"/>
  </r>
  <r>
    <d v="2024-01-28T00:00:00"/>
    <s v="AD004"/>
    <x v="0"/>
    <x v="0"/>
    <x v="2"/>
    <n v="280154"/>
    <n v="13508"/>
    <n v="2070"/>
    <n v="1200"/>
    <n v="490"/>
    <n v="258351.31"/>
    <x v="27"/>
    <x v="0"/>
    <n v="4.8216338156870862"/>
    <n v="19.125800266508737"/>
    <n v="15.324252294936333"/>
    <n v="527.2475714285714"/>
    <n v="10.090232404859877"/>
  </r>
  <r>
    <d v="2024-01-29T00:00:00"/>
    <s v="AD004"/>
    <x v="0"/>
    <x v="0"/>
    <x v="0"/>
    <n v="246082"/>
    <n v="9319"/>
    <n v="1989"/>
    <n v="960"/>
    <n v="442"/>
    <n v="195337.39"/>
    <x v="28"/>
    <x v="2"/>
    <n v="3.7869490657585687"/>
    <n v="20.961196480309049"/>
    <n v="21.343491790964698"/>
    <n v="441.93979638009051"/>
    <n v="11.110576116533551"/>
  </r>
  <r>
    <d v="2024-01-30T00:00:00"/>
    <s v="AD004"/>
    <x v="0"/>
    <x v="0"/>
    <x v="2"/>
    <n v="162479"/>
    <n v="9378"/>
    <n v="2210"/>
    <n v="1154"/>
    <n v="604"/>
    <n v="157517.73000000001"/>
    <x v="29"/>
    <x v="3"/>
    <n v="5.7718228201798389"/>
    <n v="16.796516314779272"/>
    <n v="23.565792279803794"/>
    <n v="260.79094370860929"/>
    <n v="28.122041182284683"/>
  </r>
  <r>
    <d v="2024-01-31T00:00:00"/>
    <s v="AD004"/>
    <x v="0"/>
    <x v="0"/>
    <x v="1"/>
    <n v="256182"/>
    <n v="17232"/>
    <n v="3397"/>
    <n v="1850"/>
    <n v="871"/>
    <n v="212839.26"/>
    <x v="30"/>
    <x v="4"/>
    <n v="6.7264679017261173"/>
    <n v="12.351396239554319"/>
    <n v="19.713324048282267"/>
    <n v="244.36195177956373"/>
    <n v="16.818690452128049"/>
  </r>
  <r>
    <d v="2024-02-01T00:00:00"/>
    <s v="AD004"/>
    <x v="0"/>
    <x v="0"/>
    <x v="1"/>
    <n v="269710"/>
    <n v="19961"/>
    <n v="3100"/>
    <n v="1479"/>
    <n v="780"/>
    <n v="108988.07"/>
    <x v="31"/>
    <x v="4"/>
    <n v="7.4009120907641543"/>
    <n v="5.4600505986674017"/>
    <n v="15.530284053905117"/>
    <n v="139.72829487179487"/>
    <n v="24.761349384386751"/>
  </r>
  <r>
    <d v="2024-02-02T00:00:00"/>
    <s v="AD004"/>
    <x v="0"/>
    <x v="0"/>
    <x v="0"/>
    <n v="85354"/>
    <n v="4637"/>
    <n v="948"/>
    <n v="471"/>
    <n v="279"/>
    <n v="39467.1"/>
    <x v="32"/>
    <x v="3"/>
    <n v="5.4326686505611921"/>
    <n v="8.5113435410825957"/>
    <n v="20.444252749622603"/>
    <n v="141.45913978494625"/>
    <n v="27.097953992059207"/>
  </r>
  <r>
    <d v="2024-02-03T00:00:00"/>
    <s v="AD004"/>
    <x v="0"/>
    <x v="0"/>
    <x v="0"/>
    <n v="96853"/>
    <n v="3046"/>
    <n v="699"/>
    <n v="327"/>
    <n v="162"/>
    <n v="53820.55"/>
    <x v="33"/>
    <x v="1"/>
    <n v="3.1449722775752949"/>
    <n v="17.669254760341431"/>
    <n v="22.948128693368353"/>
    <n v="332.22561728395061"/>
    <n v="16.136766904091466"/>
  </r>
  <r>
    <d v="2024-02-04T00:00:00"/>
    <s v="AD004"/>
    <x v="0"/>
    <x v="0"/>
    <x v="0"/>
    <n v="251547"/>
    <n v="15827"/>
    <n v="2989"/>
    <n v="1925"/>
    <n v="804"/>
    <n v="123902.52"/>
    <x v="34"/>
    <x v="0"/>
    <n v="6.2918659336028648"/>
    <n v="7.8285537372843876"/>
    <n v="18.885448916408667"/>
    <n v="154.10761194029851"/>
    <n v="47.225956744059765"/>
  </r>
  <r>
    <d v="2024-02-05T00:00:00"/>
    <s v="AD004"/>
    <x v="0"/>
    <x v="0"/>
    <x v="0"/>
    <n v="189912"/>
    <n v="12514"/>
    <n v="2711"/>
    <n v="1616"/>
    <n v="890"/>
    <n v="132682.38"/>
    <x v="35"/>
    <x v="1"/>
    <n v="6.5893677071485746"/>
    <n v="10.602715358798147"/>
    <n v="21.663736614991212"/>
    <n v="149.08132584269663"/>
    <n v="39.79395485670365"/>
  </r>
  <r>
    <d v="2024-02-06T00:00:00"/>
    <s v="AD004"/>
    <x v="0"/>
    <x v="0"/>
    <x v="2"/>
    <n v="202653"/>
    <n v="7479"/>
    <n v="1790"/>
    <n v="1010"/>
    <n v="592"/>
    <n v="93098.57"/>
    <x v="36"/>
    <x v="0"/>
    <n v="3.6905449216147801"/>
    <n v="12.447997058430273"/>
    <n v="23.933680973392164"/>
    <n v="157.26109797297298"/>
    <n v="34.07682405862947"/>
  </r>
  <r>
    <d v="2024-02-07T00:00:00"/>
    <s v="AD004"/>
    <x v="0"/>
    <x v="0"/>
    <x v="0"/>
    <n v="72831"/>
    <n v="5085"/>
    <n v="1192"/>
    <n v="648"/>
    <n v="367"/>
    <n v="65890.34"/>
    <x v="37"/>
    <x v="0"/>
    <n v="6.9819170408205302"/>
    <n v="12.95778564405113"/>
    <n v="23.441494591937069"/>
    <n v="179.53771117166212"/>
    <n v="42.589352399759967"/>
  </r>
  <r>
    <d v="2024-02-08T00:00:00"/>
    <s v="AD004"/>
    <x v="0"/>
    <x v="0"/>
    <x v="2"/>
    <n v="215776"/>
    <n v="15117"/>
    <n v="2292"/>
    <n v="1195"/>
    <n v="520"/>
    <n v="203852.45"/>
    <x v="38"/>
    <x v="2"/>
    <n v="7.0058764644816849"/>
    <n v="13.484980485546075"/>
    <n v="15.161738440166699"/>
    <n v="392.02394230769232"/>
    <n v="16.800066862085789"/>
  </r>
  <r>
    <d v="2024-02-09T00:00:00"/>
    <s v="AD004"/>
    <x v="0"/>
    <x v="0"/>
    <x v="0"/>
    <n v="72443"/>
    <n v="3074"/>
    <n v="557"/>
    <n v="275"/>
    <n v="119"/>
    <n v="67537.919999999998"/>
    <x v="39"/>
    <x v="4"/>
    <n v="4.2433361401377638"/>
    <n v="21.970696161353285"/>
    <n v="18.119713728041638"/>
    <n v="567.5455462184874"/>
    <n v="5.3990179146766737"/>
  </r>
  <r>
    <d v="2024-02-10T00:00:00"/>
    <s v="AD004"/>
    <x v="0"/>
    <x v="0"/>
    <x v="2"/>
    <n v="155169"/>
    <n v="10534"/>
    <n v="1826"/>
    <n v="964"/>
    <n v="488"/>
    <n v="65548.509999999995"/>
    <x v="40"/>
    <x v="4"/>
    <n v="6.7887271297746326"/>
    <n v="6.2225659768369086"/>
    <n v="17.334345927472945"/>
    <n v="134.32071721311473"/>
    <n v="30.628463560804054"/>
  </r>
  <r>
    <d v="2024-02-11T00:00:00"/>
    <s v="AD004"/>
    <x v="0"/>
    <x v="0"/>
    <x v="0"/>
    <n v="145600"/>
    <n v="10817"/>
    <n v="2620"/>
    <n v="1253"/>
    <n v="628"/>
    <n v="143250"/>
    <x v="41"/>
    <x v="3"/>
    <n v="7.4292582417582427"/>
    <n v="13.243043357677729"/>
    <n v="24.221133401127855"/>
    <n v="228.10509554140128"/>
    <n v="26.291079301919719"/>
  </r>
  <r>
    <d v="2024-02-12T00:00:00"/>
    <s v="AD004"/>
    <x v="0"/>
    <x v="0"/>
    <x v="1"/>
    <n v="235449"/>
    <n v="17901"/>
    <n v="3572"/>
    <n v="1970"/>
    <n v="869"/>
    <n v="156170.04999999999"/>
    <x v="42"/>
    <x v="2"/>
    <n v="7.6029203776614036"/>
    <n v="8.7240964191944581"/>
    <n v="19.954192503212113"/>
    <n v="179.71237054085154"/>
    <n v="24.1992455659712"/>
  </r>
  <r>
    <d v="2024-02-13T00:00:00"/>
    <s v="AD004"/>
    <x v="0"/>
    <x v="0"/>
    <x v="2"/>
    <n v="92082"/>
    <n v="5873"/>
    <n v="1376"/>
    <n v="740"/>
    <n v="425"/>
    <n v="72924.97"/>
    <x v="43"/>
    <x v="1"/>
    <n v="6.378010903325297"/>
    <n v="12.416987910778138"/>
    <n v="23.429252511493274"/>
    <n v="171.58816470588235"/>
    <n v="37.680705662271784"/>
  </r>
  <r>
    <d v="2024-02-14T00:00:00"/>
    <s v="AD004"/>
    <x v="0"/>
    <x v="0"/>
    <x v="1"/>
    <n v="69767"/>
    <n v="4894"/>
    <n v="1047"/>
    <n v="585"/>
    <n v="275"/>
    <n v="47791.5"/>
    <x v="44"/>
    <x v="3"/>
    <n v="7.0147777602591486"/>
    <n v="9.7653248876174903"/>
    <n v="21.393543114017163"/>
    <n v="173.78727272727272"/>
    <n v="44.898454118410179"/>
  </r>
  <r>
    <d v="2024-02-15T00:00:00"/>
    <s v="AD004"/>
    <x v="0"/>
    <x v="0"/>
    <x v="0"/>
    <n v="131440"/>
    <n v="4550"/>
    <n v="1063"/>
    <n v="659"/>
    <n v="286"/>
    <n v="119990.61"/>
    <x v="45"/>
    <x v="2"/>
    <n v="3.4616555082166767"/>
    <n v="26.371562637362636"/>
    <n v="23.362637362637361"/>
    <n v="419.5475874125874"/>
    <n v="16.586494143166703"/>
  </r>
  <r>
    <d v="2024-02-16T00:00:00"/>
    <s v="AD004"/>
    <x v="0"/>
    <x v="0"/>
    <x v="2"/>
    <n v="281475"/>
    <n v="14540"/>
    <n v="2460"/>
    <n v="1239"/>
    <n v="519"/>
    <n v="112654.64"/>
    <x v="46"/>
    <x v="4"/>
    <n v="5.1656452615685229"/>
    <n v="7.74791196698762"/>
    <n v="16.918844566712519"/>
    <n v="217.0609633911368"/>
    <n v="34.797717697202707"/>
  </r>
  <r>
    <d v="2024-02-17T00:00:00"/>
    <s v="AD004"/>
    <x v="0"/>
    <x v="0"/>
    <x v="0"/>
    <n v="138904"/>
    <n v="6550"/>
    <n v="1548"/>
    <n v="797"/>
    <n v="435"/>
    <n v="128170.76"/>
    <x v="47"/>
    <x v="4"/>
    <n v="4.7154869550192942"/>
    <n v="19.568054961832061"/>
    <n v="23.63358778625954"/>
    <n v="294.64542528735632"/>
    <n v="23.743079622840657"/>
  </r>
  <r>
    <d v="2024-02-18T00:00:00"/>
    <s v="AD004"/>
    <x v="0"/>
    <x v="0"/>
    <x v="2"/>
    <n v="294254"/>
    <n v="13308"/>
    <n v="3157"/>
    <n v="1809"/>
    <n v="752"/>
    <n v="251733.22"/>
    <x v="48"/>
    <x v="3"/>
    <n v="4.5226233118326347"/>
    <n v="18.915931770363692"/>
    <n v="23.722572888488127"/>
    <n v="334.75162234042551"/>
    <n v="16.460707172458207"/>
  </r>
  <r>
    <d v="2024-02-19T00:00:00"/>
    <s v="AD004"/>
    <x v="0"/>
    <x v="0"/>
    <x v="0"/>
    <n v="176880"/>
    <n v="12551"/>
    <n v="2597"/>
    <n v="1551"/>
    <n v="905"/>
    <n v="165229.22"/>
    <x v="49"/>
    <x v="4"/>
    <n v="7.095771144278606"/>
    <n v="13.164625926221019"/>
    <n v="20.691578360290016"/>
    <n v="182.57372375690608"/>
    <n v="19.624525008349007"/>
  </r>
  <r>
    <d v="2024-02-20T00:00:00"/>
    <s v="AD004"/>
    <x v="0"/>
    <x v="0"/>
    <x v="2"/>
    <n v="135158"/>
    <n v="10392"/>
    <n v="2062"/>
    <n v="977"/>
    <n v="480"/>
    <n v="101398.32"/>
    <x v="50"/>
    <x v="1"/>
    <n v="7.6887790585832878"/>
    <n v="9.757344110854504"/>
    <n v="19.842186297151652"/>
    <n v="211.24650000000003"/>
    <n v="19.380404231549395"/>
  </r>
  <r>
    <d v="2024-02-21T00:00:00"/>
    <s v="AD004"/>
    <x v="0"/>
    <x v="0"/>
    <x v="1"/>
    <n v="236532"/>
    <n v="17823"/>
    <n v="2773"/>
    <n v="1664"/>
    <n v="752"/>
    <n v="209088.36"/>
    <x v="51"/>
    <x v="3"/>
    <n v="7.5351326670387087"/>
    <n v="11.731378555798686"/>
    <n v="15.558547943668295"/>
    <n v="278.04303191489362"/>
    <n v="11.705681224913716"/>
  </r>
  <r>
    <d v="2024-02-22T00:00:00"/>
    <s v="AD004"/>
    <x v="0"/>
    <x v="0"/>
    <x v="0"/>
    <n v="279307"/>
    <n v="12903"/>
    <n v="2336"/>
    <n v="1311"/>
    <n v="548"/>
    <n v="265211.11"/>
    <x v="52"/>
    <x v="1"/>
    <n v="4.6196479143021838"/>
    <n v="20.554220723862667"/>
    <n v="18.104316825544448"/>
    <n v="483.96187956204375"/>
    <n v="14.823722279206176"/>
  </r>
  <r>
    <d v="2024-02-23T00:00:00"/>
    <s v="AD004"/>
    <x v="0"/>
    <x v="0"/>
    <x v="0"/>
    <n v="51984"/>
    <n v="2911"/>
    <n v="604"/>
    <n v="374"/>
    <n v="222"/>
    <n v="27007.8"/>
    <x v="53"/>
    <x v="4"/>
    <n v="5.5997999384425974"/>
    <n v="9.277842665750601"/>
    <n v="20.748883545173481"/>
    <n v="121.65675675675675"/>
    <n v="64.046261450395818"/>
  </r>
  <r>
    <d v="2024-02-24T00:00:00"/>
    <s v="AD004"/>
    <x v="0"/>
    <x v="0"/>
    <x v="2"/>
    <n v="103947"/>
    <n v="7149"/>
    <n v="1414"/>
    <n v="811"/>
    <n v="375"/>
    <n v="55023.96"/>
    <x v="54"/>
    <x v="4"/>
    <n v="6.8775433634448326"/>
    <n v="7.6967352077213596"/>
    <n v="19.778990068541056"/>
    <n v="146.73056"/>
    <n v="29.500342578033276"/>
  </r>
  <r>
    <d v="2024-02-25T00:00:00"/>
    <s v="AD004"/>
    <x v="0"/>
    <x v="0"/>
    <x v="1"/>
    <n v="61783"/>
    <n v="3786"/>
    <n v="675"/>
    <n v="431"/>
    <n v="230"/>
    <n v="48713"/>
    <x v="55"/>
    <x v="2"/>
    <n v="6.1278992603143259"/>
    <n v="12.86661384046487"/>
    <n v="17.828843106180667"/>
    <n v="211.79565217391306"/>
    <n v="22.482106624515019"/>
  </r>
  <r>
    <d v="2024-02-26T00:00:00"/>
    <s v="AD004"/>
    <x v="0"/>
    <x v="0"/>
    <x v="2"/>
    <n v="211522"/>
    <n v="8146"/>
    <n v="1649"/>
    <n v="828"/>
    <n v="347"/>
    <n v="139232"/>
    <x v="56"/>
    <x v="2"/>
    <n v="3.851136052041868"/>
    <n v="17.092069727473607"/>
    <n v="20.243064080530321"/>
    <n v="401.24495677233432"/>
    <n v="9.6500489829924163"/>
  </r>
  <r>
    <d v="2024-02-27T00:00:00"/>
    <s v="AD004"/>
    <x v="0"/>
    <x v="0"/>
    <x v="1"/>
    <n v="55880"/>
    <n v="1910"/>
    <n v="340"/>
    <n v="220"/>
    <n v="103"/>
    <n v="40730.480000000003"/>
    <x v="57"/>
    <x v="4"/>
    <n v="3.4180386542591266"/>
    <n v="21.324858638743457"/>
    <n v="17.801047120418847"/>
    <n v="395.44155339805826"/>
    <n v="11.953792098693656"/>
  </r>
  <r>
    <d v="2024-02-28T00:00:00"/>
    <s v="AD004"/>
    <x v="0"/>
    <x v="0"/>
    <x v="0"/>
    <n v="167535"/>
    <n v="11504"/>
    <n v="2177"/>
    <n v="1304"/>
    <n v="556"/>
    <n v="110296.86"/>
    <x v="58"/>
    <x v="0"/>
    <n v="6.8666248843525235"/>
    <n v="9.58769645340751"/>
    <n v="18.923852573018081"/>
    <n v="198.37564748201439"/>
    <n v="37.843439060731193"/>
  </r>
  <r>
    <d v="2024-02-29T00:00:00"/>
    <s v="AD004"/>
    <x v="0"/>
    <x v="0"/>
    <x v="2"/>
    <n v="206944"/>
    <n v="15993"/>
    <n v="2610"/>
    <n v="1657"/>
    <n v="747"/>
    <n v="170089.29"/>
    <x v="59"/>
    <x v="0"/>
    <n v="7.7281776712540591"/>
    <n v="10.635233539673608"/>
    <n v="16.319639842431062"/>
    <n v="227.69650602409641"/>
    <n v="15.901578341587527"/>
  </r>
  <r>
    <d v="2024-03-01T00:00:00"/>
    <s v="AD001"/>
    <x v="1"/>
    <x v="1"/>
    <x v="0"/>
    <n v="86043"/>
    <n v="5121"/>
    <n v="1032"/>
    <n v="663"/>
    <n v="383"/>
    <n v="84842.240000000005"/>
    <x v="60"/>
    <x v="3"/>
    <n v="5.9516753251281331"/>
    <n v="16.567514157391134"/>
    <n v="20.152314001171646"/>
    <n v="221.5202088772846"/>
    <n v="24.36903987919225"/>
  </r>
  <r>
    <d v="2024-03-01T00:00:00"/>
    <s v="AD004"/>
    <x v="0"/>
    <x v="0"/>
    <x v="1"/>
    <n v="238624"/>
    <n v="16826"/>
    <n v="3034"/>
    <n v="1553"/>
    <n v="882"/>
    <n v="121439.76"/>
    <x v="61"/>
    <x v="2"/>
    <n v="7.0512605605471377"/>
    <n v="7.2173873766789489"/>
    <n v="18.031617734458578"/>
    <n v="137.68680272108844"/>
    <n v="45.480820696615346"/>
  </r>
  <r>
    <d v="2024-03-02T00:00:00"/>
    <s v="AD001"/>
    <x v="1"/>
    <x v="1"/>
    <x v="0"/>
    <n v="106383"/>
    <n v="8132"/>
    <n v="1989"/>
    <n v="1180"/>
    <n v="597"/>
    <n v="68120.59"/>
    <x v="62"/>
    <x v="4"/>
    <n v="7.6440784711843053"/>
    <n v="8.3768556320708303"/>
    <n v="24.458927693064435"/>
    <n v="114.10484087102176"/>
    <n v="61.173009364716314"/>
  </r>
  <r>
    <d v="2024-03-02T00:00:00"/>
    <s v="AD004"/>
    <x v="0"/>
    <x v="0"/>
    <x v="2"/>
    <n v="137353"/>
    <n v="10177"/>
    <n v="1561"/>
    <n v="926"/>
    <n v="440"/>
    <n v="62507.3"/>
    <x v="63"/>
    <x v="3"/>
    <n v="7.4093758418090614"/>
    <n v="6.1420163112901642"/>
    <n v="15.338508401297043"/>
    <n v="142.06204545454545"/>
    <n v="36.811410987196695"/>
  </r>
  <r>
    <d v="2024-03-03T00:00:00"/>
    <s v="AD001"/>
    <x v="1"/>
    <x v="1"/>
    <x v="0"/>
    <n v="190183"/>
    <n v="9911"/>
    <n v="2343"/>
    <n v="1331"/>
    <n v="712"/>
    <n v="170515"/>
    <x v="64"/>
    <x v="1"/>
    <n v="5.2112964881193378"/>
    <n v="17.204621128039552"/>
    <n v="23.640399556048834"/>
    <n v="239.48735955056179"/>
    <n v="15.443287687300238"/>
  </r>
  <r>
    <d v="2024-03-03T00:00:00"/>
    <s v="AD004"/>
    <x v="0"/>
    <x v="0"/>
    <x v="0"/>
    <n v="248339"/>
    <n v="16962"/>
    <n v="3496"/>
    <n v="1806"/>
    <n v="789"/>
    <n v="175686.39999999999"/>
    <x v="65"/>
    <x v="2"/>
    <n v="6.8301797140199492"/>
    <n v="10.357646503950006"/>
    <n v="20.610777031010493"/>
    <n v="222.66970849176172"/>
    <n v="16.554185241430186"/>
  </r>
  <r>
    <d v="2024-03-04T00:00:00"/>
    <s v="AD001"/>
    <x v="1"/>
    <x v="1"/>
    <x v="0"/>
    <n v="151825"/>
    <n v="7293"/>
    <n v="1728"/>
    <n v="1114"/>
    <n v="497"/>
    <n v="76965.64"/>
    <x v="66"/>
    <x v="0"/>
    <n v="4.8035567264943193"/>
    <n v="10.553358014534485"/>
    <n v="23.69395310571781"/>
    <n v="154.8604426559356"/>
    <n v="45.829145187384917"/>
  </r>
  <r>
    <d v="2024-03-04T00:00:00"/>
    <s v="AD004"/>
    <x v="0"/>
    <x v="0"/>
    <x v="0"/>
    <n v="56983"/>
    <n v="2037"/>
    <n v="418"/>
    <n v="208"/>
    <n v="123"/>
    <n v="53251.91"/>
    <x v="67"/>
    <x v="3"/>
    <n v="3.574750364143692"/>
    <n v="26.14232204221895"/>
    <n v="20.520373097692683"/>
    <n v="432.94235772357729"/>
    <n v="13.854963324320197"/>
  </r>
  <r>
    <d v="2024-03-05T00:00:00"/>
    <s v="AD001"/>
    <x v="1"/>
    <x v="1"/>
    <x v="0"/>
    <n v="70110"/>
    <n v="3013"/>
    <n v="750"/>
    <n v="468"/>
    <n v="238"/>
    <n v="52948"/>
    <x v="68"/>
    <x v="4"/>
    <n v="4.2975324490087008"/>
    <n v="17.573182874211749"/>
    <n v="24.892134085628943"/>
    <n v="222.47058823529412"/>
    <n v="35.736526214399035"/>
  </r>
  <r>
    <d v="2024-03-05T00:00:00"/>
    <s v="AD004"/>
    <x v="0"/>
    <x v="0"/>
    <x v="1"/>
    <n v="161034"/>
    <n v="5095"/>
    <n v="881"/>
    <n v="462"/>
    <n v="224"/>
    <n v="84019.32"/>
    <x v="69"/>
    <x v="4"/>
    <n v="3.1639281145596581"/>
    <n v="16.490543670264966"/>
    <n v="17.291462217860648"/>
    <n v="375.08625000000001"/>
    <n v="10.98752179855776"/>
  </r>
  <r>
    <d v="2024-03-06T00:00:00"/>
    <s v="AD001"/>
    <x v="1"/>
    <x v="1"/>
    <x v="0"/>
    <n v="127872"/>
    <n v="7698"/>
    <n v="1526"/>
    <n v="763"/>
    <n v="381"/>
    <n v="116041.16"/>
    <x v="70"/>
    <x v="3"/>
    <n v="6.0200825825825826"/>
    <n v="15.074195895037672"/>
    <n v="19.823330735255912"/>
    <n v="304.56997375328086"/>
    <n v="19.847337013866458"/>
  </r>
  <r>
    <d v="2024-03-06T00:00:00"/>
    <s v="AD004"/>
    <x v="0"/>
    <x v="0"/>
    <x v="0"/>
    <n v="207444"/>
    <n v="12055"/>
    <n v="2103"/>
    <n v="1256"/>
    <n v="542"/>
    <n v="112399.62"/>
    <x v="71"/>
    <x v="1"/>
    <n v="5.8112068799290411"/>
    <n v="9.3239004562422227"/>
    <n v="17.445043550394026"/>
    <n v="207.37937269372694"/>
    <n v="18.609155707110041"/>
  </r>
  <r>
    <d v="2024-03-07T00:00:00"/>
    <s v="AD001"/>
    <x v="1"/>
    <x v="1"/>
    <x v="0"/>
    <n v="125458"/>
    <n v="8435"/>
    <n v="1509"/>
    <n v="693"/>
    <n v="366"/>
    <n v="66260.179999999993"/>
    <x v="72"/>
    <x v="0"/>
    <n v="6.7233655884837953"/>
    <n v="7.8553858921161819"/>
    <n v="17.889745109662123"/>
    <n v="181.03874316939888"/>
    <n v="36.196148123956199"/>
  </r>
  <r>
    <d v="2024-03-07T00:00:00"/>
    <s v="AD004"/>
    <x v="0"/>
    <x v="0"/>
    <x v="2"/>
    <n v="125186"/>
    <n v="5438"/>
    <n v="1013"/>
    <n v="516"/>
    <n v="288"/>
    <n v="70257.17"/>
    <x v="73"/>
    <x v="2"/>
    <n v="4.3439362229003242"/>
    <n v="12.919670834865759"/>
    <n v="18.628172122103713"/>
    <n v="243.94850694444443"/>
    <n v="23.563068082588583"/>
  </r>
  <r>
    <d v="2024-03-08T00:00:00"/>
    <s v="AD001"/>
    <x v="1"/>
    <x v="1"/>
    <x v="0"/>
    <n v="52749"/>
    <n v="3113"/>
    <n v="594"/>
    <n v="267"/>
    <n v="132"/>
    <n v="47097.46"/>
    <x v="74"/>
    <x v="0"/>
    <n v="5.9015336783635703"/>
    <n v="15.129283649212978"/>
    <n v="19.081272084805654"/>
    <n v="356.79893939393941"/>
    <n v="13.690029356147869"/>
  </r>
  <r>
    <d v="2024-03-08T00:00:00"/>
    <s v="AD004"/>
    <x v="0"/>
    <x v="0"/>
    <x v="0"/>
    <n v="153379"/>
    <n v="7139"/>
    <n v="1663"/>
    <n v="957"/>
    <n v="429"/>
    <n v="102014.36"/>
    <x v="75"/>
    <x v="4"/>
    <n v="4.654483338657835"/>
    <n v="14.289726852500351"/>
    <n v="23.294579072699257"/>
    <n v="237.79571095571094"/>
    <n v="14.347242584279311"/>
  </r>
  <r>
    <d v="2024-03-09T00:00:00"/>
    <s v="AD001"/>
    <x v="1"/>
    <x v="1"/>
    <x v="0"/>
    <n v="55614"/>
    <n v="3540"/>
    <n v="572"/>
    <n v="343"/>
    <n v="154"/>
    <n v="36078.71"/>
    <x v="76"/>
    <x v="1"/>
    <n v="6.3653037005070665"/>
    <n v="10.191725988700565"/>
    <n v="16.158192090395477"/>
    <n v="234.27733766233766"/>
    <n v="17.912138765493555"/>
  </r>
  <r>
    <d v="2024-03-09T00:00:00"/>
    <s v="AD004"/>
    <x v="0"/>
    <x v="0"/>
    <x v="0"/>
    <n v="123685"/>
    <n v="8520"/>
    <n v="2108"/>
    <n v="1010"/>
    <n v="406"/>
    <n v="122048.41"/>
    <x v="77"/>
    <x v="4"/>
    <n v="6.8884666693616854"/>
    <n v="14.32493075117371"/>
    <n v="24.741784037558688"/>
    <n v="300.61184729064041"/>
    <n v="11.917215472122905"/>
  </r>
  <r>
    <d v="2024-03-10T00:00:00"/>
    <s v="AD001"/>
    <x v="1"/>
    <x v="1"/>
    <x v="0"/>
    <n v="160586"/>
    <n v="9019"/>
    <n v="1457"/>
    <n v="790"/>
    <n v="427"/>
    <n v="118320.36"/>
    <x v="78"/>
    <x v="1"/>
    <n v="5.6163052819050225"/>
    <n v="13.119010976826699"/>
    <n v="16.154784344162323"/>
    <n v="277.09686182669788"/>
    <n v="21.440138535751583"/>
  </r>
  <r>
    <d v="2024-03-10T00:00:00"/>
    <s v="AD004"/>
    <x v="0"/>
    <x v="0"/>
    <x v="2"/>
    <n v="226639"/>
    <n v="12635"/>
    <n v="2302"/>
    <n v="1218"/>
    <n v="650"/>
    <n v="199476.34"/>
    <x v="79"/>
    <x v="3"/>
    <n v="5.574945177131915"/>
    <n v="15.787601108033241"/>
    <n v="18.219232291254453"/>
    <n v="306.88667692307689"/>
    <n v="19.87674839031035"/>
  </r>
  <r>
    <d v="2024-03-11T00:00:00"/>
    <s v="AD001"/>
    <x v="1"/>
    <x v="1"/>
    <x v="0"/>
    <n v="73407"/>
    <n v="5606"/>
    <n v="883"/>
    <n v="498"/>
    <n v="256"/>
    <n v="70482.990000000005"/>
    <x v="80"/>
    <x v="0"/>
    <n v="7.6368738676148045"/>
    <n v="12.572777381377097"/>
    <n v="15.750981091687477"/>
    <n v="275.32417968750002"/>
    <n v="14.45519990000424"/>
  </r>
  <r>
    <d v="2024-03-11T00:00:00"/>
    <s v="AD004"/>
    <x v="0"/>
    <x v="0"/>
    <x v="1"/>
    <n v="213309"/>
    <n v="8042"/>
    <n v="1913"/>
    <n v="1209"/>
    <n v="533"/>
    <n v="164269.5"/>
    <x v="81"/>
    <x v="1"/>
    <n v="3.7701175290306552"/>
    <n v="20.426448644615768"/>
    <n v="23.787615021139018"/>
    <n v="308.19793621013133"/>
    <n v="24.739109512112716"/>
  </r>
  <r>
    <d v="2024-03-12T00:00:00"/>
    <s v="AD001"/>
    <x v="1"/>
    <x v="1"/>
    <x v="0"/>
    <n v="216597"/>
    <n v="15507"/>
    <n v="2335"/>
    <n v="1445"/>
    <n v="726"/>
    <n v="192461.62"/>
    <x v="82"/>
    <x v="1"/>
    <n v="7.1593789387664657"/>
    <n v="12.411273618365898"/>
    <n v="15.057715870252144"/>
    <n v="265.09865013774106"/>
    <n v="11.981471370759532"/>
  </r>
  <r>
    <d v="2024-03-12T00:00:00"/>
    <s v="AD004"/>
    <x v="0"/>
    <x v="0"/>
    <x v="2"/>
    <n v="226506"/>
    <n v="7970"/>
    <n v="1292"/>
    <n v="750"/>
    <n v="420"/>
    <n v="175994.8"/>
    <x v="83"/>
    <x v="3"/>
    <n v="3.5186705870926156"/>
    <n v="22.082158092848179"/>
    <n v="16.210790464240905"/>
    <n v="419.03523809523807"/>
    <n v="11.742316136613129"/>
  </r>
  <r>
    <d v="2024-03-13T00:00:00"/>
    <s v="AD001"/>
    <x v="1"/>
    <x v="1"/>
    <x v="0"/>
    <n v="175194"/>
    <n v="5344"/>
    <n v="957"/>
    <n v="551"/>
    <n v="261"/>
    <n v="169204.3"/>
    <x v="84"/>
    <x v="0"/>
    <n v="3.0503327739534458"/>
    <n v="31.662481287425152"/>
    <n v="17.907934131736528"/>
    <n v="648.29233716475096"/>
    <n v="5.7727081403959595"/>
  </r>
  <r>
    <d v="2024-03-13T00:00:00"/>
    <s v="AD004"/>
    <x v="0"/>
    <x v="0"/>
    <x v="1"/>
    <n v="185895"/>
    <n v="10159"/>
    <n v="1559"/>
    <n v="796"/>
    <n v="319"/>
    <n v="152446.60999999999"/>
    <x v="85"/>
    <x v="2"/>
    <n v="5.4649129885150218"/>
    <n v="15.006064573284771"/>
    <n v="15.345998621911605"/>
    <n v="477.88905956112848"/>
    <n v="14.450984708679321"/>
  </r>
  <r>
    <d v="2024-03-14T00:00:00"/>
    <s v="AD001"/>
    <x v="1"/>
    <x v="1"/>
    <x v="0"/>
    <n v="188495"/>
    <n v="10549"/>
    <n v="1800"/>
    <n v="1004"/>
    <n v="441"/>
    <n v="182807.04000000001"/>
    <x v="86"/>
    <x v="0"/>
    <n v="5.5964349186981091"/>
    <n v="17.329324106550384"/>
    <n v="17.063228742060861"/>
    <n v="414.52843537414969"/>
    <n v="12.409036544763266"/>
  </r>
  <r>
    <d v="2024-03-14T00:00:00"/>
    <s v="AD004"/>
    <x v="0"/>
    <x v="0"/>
    <x v="1"/>
    <n v="61348"/>
    <n v="4749"/>
    <n v="863"/>
    <n v="560"/>
    <n v="278"/>
    <n v="41334.61"/>
    <x v="87"/>
    <x v="3"/>
    <n v="7.7410836539088477"/>
    <n v="8.7038555485365343"/>
    <n v="18.17224678879764"/>
    <n v="148.68564748201439"/>
    <n v="48.779770028070907"/>
  </r>
  <r>
    <d v="2024-03-15T00:00:00"/>
    <s v="AD001"/>
    <x v="1"/>
    <x v="1"/>
    <x v="0"/>
    <n v="100344"/>
    <n v="8008"/>
    <n v="1473"/>
    <n v="816"/>
    <n v="424"/>
    <n v="77929.710000000006"/>
    <x v="88"/>
    <x v="2"/>
    <n v="7.980546918600016"/>
    <n v="9.7314822677322681"/>
    <n v="18.394105894105895"/>
    <n v="183.79648584905661"/>
    <n v="17.250610453959087"/>
  </r>
  <r>
    <d v="2024-03-15T00:00:00"/>
    <s v="AD004"/>
    <x v="0"/>
    <x v="0"/>
    <x v="1"/>
    <n v="194652"/>
    <n v="12957"/>
    <n v="2628"/>
    <n v="1452"/>
    <n v="793"/>
    <n v="188268.91"/>
    <x v="89"/>
    <x v="2"/>
    <n v="6.6564946674064487"/>
    <n v="14.530285559928997"/>
    <n v="20.282472794628386"/>
    <n v="237.41350567465321"/>
    <n v="31.058076609674959"/>
  </r>
  <r>
    <d v="2024-03-16T00:00:00"/>
    <s v="AD001"/>
    <x v="1"/>
    <x v="1"/>
    <x v="0"/>
    <n v="275868"/>
    <n v="10436"/>
    <n v="1877"/>
    <n v="1023"/>
    <n v="453"/>
    <n v="133644.66"/>
    <x v="90"/>
    <x v="0"/>
    <n v="3.782968666173677"/>
    <n v="12.806119202759678"/>
    <n v="17.985818321195861"/>
    <n v="295.02132450331129"/>
    <n v="21.668245704691831"/>
  </r>
  <r>
    <d v="2024-03-16T00:00:00"/>
    <s v="AD004"/>
    <x v="0"/>
    <x v="0"/>
    <x v="1"/>
    <n v="144241"/>
    <n v="6954"/>
    <n v="1273"/>
    <n v="706"/>
    <n v="292"/>
    <n v="70141.8"/>
    <x v="91"/>
    <x v="2"/>
    <n v="4.8210980234468703"/>
    <n v="10.086540120793789"/>
    <n v="18.306010928961751"/>
    <n v="240.21164383561646"/>
    <n v="14.746442349640299"/>
  </r>
  <r>
    <d v="2024-03-17T00:00:00"/>
    <s v="AD001"/>
    <x v="1"/>
    <x v="1"/>
    <x v="0"/>
    <n v="292584"/>
    <n v="23331"/>
    <n v="3605"/>
    <n v="1899"/>
    <n v="921"/>
    <n v="169598.15"/>
    <x v="92"/>
    <x v="0"/>
    <n v="7.9741202526453945"/>
    <n v="7.269219064763619"/>
    <n v="15.451545154515451"/>
    <n v="184.14565689467969"/>
    <n v="18.645715298191636"/>
  </r>
  <r>
    <d v="2024-03-17T00:00:00"/>
    <s v="AD004"/>
    <x v="0"/>
    <x v="0"/>
    <x v="2"/>
    <n v="117460"/>
    <n v="8173"/>
    <n v="1756"/>
    <n v="887"/>
    <n v="365"/>
    <n v="93791.14"/>
    <x v="93"/>
    <x v="4"/>
    <n v="6.9581134003064875"/>
    <n v="11.47572984216322"/>
    <n v="21.485378685917045"/>
    <n v="256.96202739726027"/>
    <n v="16.847083423871378"/>
  </r>
  <r>
    <d v="2024-03-18T00:00:00"/>
    <s v="AD001"/>
    <x v="1"/>
    <x v="1"/>
    <x v="0"/>
    <n v="160356"/>
    <n v="10619"/>
    <n v="2317"/>
    <n v="1167"/>
    <n v="687"/>
    <n v="89639.34"/>
    <x v="94"/>
    <x v="4"/>
    <n v="6.6221407368604854"/>
    <n v="8.4414106789716534"/>
    <n v="21.819380355965723"/>
    <n v="130.47938864628821"/>
    <n v="52.117554636167561"/>
  </r>
  <r>
    <d v="2024-03-18T00:00:00"/>
    <s v="AD004"/>
    <x v="0"/>
    <x v="0"/>
    <x v="0"/>
    <n v="58163"/>
    <n v="3769"/>
    <n v="797"/>
    <n v="395"/>
    <n v="178"/>
    <n v="25554.54"/>
    <x v="95"/>
    <x v="1"/>
    <n v="6.4800646459089117"/>
    <n v="6.7801910321040069"/>
    <n v="21.146192624038207"/>
    <n v="143.56483146067416"/>
    <n v="50.627721727724307"/>
  </r>
  <r>
    <d v="2024-03-19T00:00:00"/>
    <s v="AD001"/>
    <x v="1"/>
    <x v="1"/>
    <x v="0"/>
    <n v="172256"/>
    <n v="8896"/>
    <n v="2048"/>
    <n v="985"/>
    <n v="576"/>
    <n v="152568.15"/>
    <x v="96"/>
    <x v="2"/>
    <n v="5.1644064647965813"/>
    <n v="17.150196717625899"/>
    <n v="23.021582733812952"/>
    <n v="264.87526041666666"/>
    <n v="12.554322904223458"/>
  </r>
  <r>
    <d v="2024-03-19T00:00:00"/>
    <s v="AD004"/>
    <x v="0"/>
    <x v="0"/>
    <x v="0"/>
    <n v="258133"/>
    <n v="14755"/>
    <n v="2438"/>
    <n v="1536"/>
    <n v="617"/>
    <n v="103655.55"/>
    <x v="97"/>
    <x v="4"/>
    <n v="5.716045604397733"/>
    <n v="7.0251135208403932"/>
    <n v="16.523212470349034"/>
    <n v="167.99927066450567"/>
    <n v="43.650422095102478"/>
  </r>
  <r>
    <d v="2024-03-20T00:00:00"/>
    <s v="AD001"/>
    <x v="1"/>
    <x v="1"/>
    <x v="0"/>
    <n v="203648"/>
    <n v="8947"/>
    <n v="1995"/>
    <n v="1108"/>
    <n v="625"/>
    <n v="126623.75"/>
    <x v="98"/>
    <x v="4"/>
    <n v="4.3933650219987426"/>
    <n v="14.152648932603107"/>
    <n v="22.29797697552252"/>
    <n v="202.59800000000001"/>
    <n v="29.528345590775825"/>
  </r>
  <r>
    <d v="2024-03-20T00:00:00"/>
    <s v="AD004"/>
    <x v="0"/>
    <x v="0"/>
    <x v="1"/>
    <n v="219527"/>
    <n v="10693"/>
    <n v="1929"/>
    <n v="990"/>
    <n v="415"/>
    <n v="203424"/>
    <x v="99"/>
    <x v="4"/>
    <n v="4.8709270385875092"/>
    <n v="19.024034415037875"/>
    <n v="18.039839147105582"/>
    <n v="490.17831325301205"/>
    <n v="10.420010274107282"/>
  </r>
  <r>
    <d v="2024-03-21T00:00:00"/>
    <s v="AD001"/>
    <x v="1"/>
    <x v="1"/>
    <x v="0"/>
    <n v="85480"/>
    <n v="4749"/>
    <n v="1166"/>
    <n v="617"/>
    <n v="295"/>
    <n v="77652.63"/>
    <x v="100"/>
    <x v="1"/>
    <n v="5.5556855404773042"/>
    <n v="16.35136449778901"/>
    <n v="24.552537376289745"/>
    <n v="263.22925423728816"/>
    <n v="23.768952577652552"/>
  </r>
  <r>
    <d v="2024-03-21T00:00:00"/>
    <s v="AD004"/>
    <x v="0"/>
    <x v="0"/>
    <x v="0"/>
    <n v="284030"/>
    <n v="14236"/>
    <n v="2183"/>
    <n v="1152"/>
    <n v="592"/>
    <n v="262334.25"/>
    <x v="101"/>
    <x v="1"/>
    <n v="5.0121466042319467"/>
    <n v="18.427525288002247"/>
    <n v="15.334363585276764"/>
    <n v="443.13217905405406"/>
    <n v="10.154143845113628"/>
  </r>
  <r>
    <d v="2024-03-22T00:00:00"/>
    <s v="AD001"/>
    <x v="1"/>
    <x v="1"/>
    <x v="0"/>
    <n v="298776"/>
    <n v="13733"/>
    <n v="2795"/>
    <n v="1309"/>
    <n v="703"/>
    <n v="212229.85"/>
    <x v="102"/>
    <x v="0"/>
    <n v="4.5964200605135623"/>
    <n v="15.454004951576495"/>
    <n v="20.352435738731522"/>
    <n v="301.89167852062587"/>
    <n v="25.212737981956824"/>
  </r>
  <r>
    <d v="2024-03-22T00:00:00"/>
    <s v="AD004"/>
    <x v="0"/>
    <x v="0"/>
    <x v="1"/>
    <n v="64434"/>
    <n v="3679"/>
    <n v="729"/>
    <n v="397"/>
    <n v="235"/>
    <n v="59041.52"/>
    <x v="103"/>
    <x v="3"/>
    <n v="5.709718471614365"/>
    <n v="16.048252242457188"/>
    <n v="19.815167164990484"/>
    <n v="251.24051063829785"/>
    <n v="21.036874558785073"/>
  </r>
  <r>
    <d v="2024-03-23T00:00:00"/>
    <s v="AD001"/>
    <x v="1"/>
    <x v="1"/>
    <x v="0"/>
    <n v="245366"/>
    <n v="12959"/>
    <n v="2802"/>
    <n v="1515"/>
    <n v="836"/>
    <n v="241060.05"/>
    <x v="104"/>
    <x v="1"/>
    <n v="5.2814978440370712"/>
    <n v="18.601747820047841"/>
    <n v="21.62203873755691"/>
    <n v="288.34934210526313"/>
    <n v="25.271686162846144"/>
  </r>
  <r>
    <d v="2024-03-23T00:00:00"/>
    <s v="AD004"/>
    <x v="0"/>
    <x v="0"/>
    <x v="2"/>
    <n v="53724"/>
    <n v="1683"/>
    <n v="344"/>
    <n v="159"/>
    <n v="73"/>
    <n v="49801.33"/>
    <x v="105"/>
    <x v="4"/>
    <n v="3.1326781326781328"/>
    <n v="29.590808080808081"/>
    <n v="20.439691027926322"/>
    <n v="682.21"/>
    <n v="10.315184554308086"/>
  </r>
  <r>
    <d v="2024-03-24T00:00:00"/>
    <s v="AD001"/>
    <x v="1"/>
    <x v="1"/>
    <x v="0"/>
    <n v="240769"/>
    <n v="8468"/>
    <n v="1835"/>
    <n v="987"/>
    <n v="400"/>
    <n v="145335.12"/>
    <x v="106"/>
    <x v="4"/>
    <n v="3.5170640738633296"/>
    <n v="17.162862541332075"/>
    <n v="21.669815777042984"/>
    <n v="363.33780000000002"/>
    <n v="20.10279648855693"/>
  </r>
  <r>
    <d v="2024-03-24T00:00:00"/>
    <s v="AD004"/>
    <x v="0"/>
    <x v="0"/>
    <x v="0"/>
    <n v="79876"/>
    <n v="4171"/>
    <n v="757"/>
    <n v="434"/>
    <n v="226"/>
    <n v="75946.350000000006"/>
    <x v="107"/>
    <x v="1"/>
    <n v="5.2218438579798683"/>
    <n v="18.208187485015586"/>
    <n v="18.149124910093501"/>
    <n v="336.04579646017703"/>
    <n v="21.858004762572524"/>
  </r>
  <r>
    <d v="2024-03-25T00:00:00"/>
    <s v="AD001"/>
    <x v="1"/>
    <x v="1"/>
    <x v="0"/>
    <n v="122186"/>
    <n v="5865"/>
    <n v="1463"/>
    <n v="777"/>
    <n v="313"/>
    <n v="54949.89"/>
    <x v="108"/>
    <x v="4"/>
    <n v="4.8000589265545974"/>
    <n v="9.3691202046035809"/>
    <n v="24.944586530264278"/>
    <n v="175.55875399361022"/>
    <n v="20.01969558082828"/>
  </r>
  <r>
    <d v="2024-03-25T00:00:00"/>
    <s v="AD004"/>
    <x v="0"/>
    <x v="0"/>
    <x v="0"/>
    <n v="199247"/>
    <n v="9891"/>
    <n v="2264"/>
    <n v="1217"/>
    <n v="616"/>
    <n v="105185.38"/>
    <x v="109"/>
    <x v="2"/>
    <n v="4.9641901760126883"/>
    <n v="10.634453543625519"/>
    <n v="22.889495500960468"/>
    <n v="170.75548701298703"/>
    <n v="45.492493443480448"/>
  </r>
  <r>
    <d v="2024-03-26T00:00:00"/>
    <s v="AD001"/>
    <x v="1"/>
    <x v="1"/>
    <x v="0"/>
    <n v="274044"/>
    <n v="13557"/>
    <n v="2893"/>
    <n v="1644"/>
    <n v="828"/>
    <n v="131707.57999999999"/>
    <x v="110"/>
    <x v="1"/>
    <n v="4.9470158076805184"/>
    <n v="9.7150977354872019"/>
    <n v="21.339529394408792"/>
    <n v="159.06712560386472"/>
    <n v="46.874748438928115"/>
  </r>
  <r>
    <d v="2024-03-26T00:00:00"/>
    <s v="AD004"/>
    <x v="0"/>
    <x v="0"/>
    <x v="1"/>
    <n v="244500"/>
    <n v="9131"/>
    <n v="2098"/>
    <n v="1346"/>
    <n v="655"/>
    <n v="146175.82"/>
    <x v="111"/>
    <x v="2"/>
    <n v="3.7345603271983641"/>
    <n v="16.00874164932647"/>
    <n v="22.976672872631696"/>
    <n v="223.16919083969466"/>
    <n v="23.701265571829868"/>
  </r>
  <r>
    <d v="2024-03-27T00:00:00"/>
    <s v="AD001"/>
    <x v="1"/>
    <x v="1"/>
    <x v="0"/>
    <n v="75569"/>
    <n v="3044"/>
    <n v="699"/>
    <n v="363"/>
    <n v="210"/>
    <n v="43169.18"/>
    <x v="112"/>
    <x v="3"/>
    <n v="4.0281067633553445"/>
    <n v="14.181727989487516"/>
    <n v="22.963206307490143"/>
    <n v="205.56752380952381"/>
    <n v="22.10400382865739"/>
  </r>
  <r>
    <d v="2024-03-27T00:00:00"/>
    <s v="AD004"/>
    <x v="0"/>
    <x v="0"/>
    <x v="0"/>
    <n v="62090"/>
    <n v="3649"/>
    <n v="636"/>
    <n v="301"/>
    <n v="174"/>
    <n v="58686.75"/>
    <x v="113"/>
    <x v="4"/>
    <n v="5.876952810436463"/>
    <n v="16.082967936420935"/>
    <n v="17.429432721293505"/>
    <n v="337.28017241379308"/>
    <n v="9.6988730846400593"/>
  </r>
  <r>
    <d v="2024-03-28T00:00:00"/>
    <s v="AD001"/>
    <x v="1"/>
    <x v="1"/>
    <x v="0"/>
    <n v="151614"/>
    <n v="5544"/>
    <n v="1000"/>
    <n v="552"/>
    <n v="221"/>
    <n v="66293.7"/>
    <x v="114"/>
    <x v="4"/>
    <n v="3.6566543986703075"/>
    <n v="11.957738095238094"/>
    <n v="18.037518037518037"/>
    <n v="299.97149321266966"/>
    <n v="12.653360877428776"/>
  </r>
  <r>
    <d v="2024-03-28T00:00:00"/>
    <s v="AD004"/>
    <x v="0"/>
    <x v="0"/>
    <x v="0"/>
    <n v="275576"/>
    <n v="19381"/>
    <n v="2993"/>
    <n v="1920"/>
    <n v="883"/>
    <n v="152033.82"/>
    <x v="115"/>
    <x v="3"/>
    <n v="7.0329056231311871"/>
    <n v="7.8444775811361644"/>
    <n v="15.442959599607864"/>
    <n v="172.17873159682901"/>
    <n v="18.749616828676672"/>
  </r>
  <r>
    <d v="2024-03-29T00:00:00"/>
    <s v="AD001"/>
    <x v="1"/>
    <x v="1"/>
    <x v="0"/>
    <n v="128767"/>
    <n v="7454"/>
    <n v="1142"/>
    <n v="540"/>
    <n v="253"/>
    <n v="99239.26"/>
    <x v="116"/>
    <x v="0"/>
    <n v="5.7887502232714905"/>
    <n v="13.313557821303997"/>
    <n v="15.320633217064664"/>
    <n v="392.2500395256917"/>
    <n v="9.6817738262054753"/>
  </r>
  <r>
    <d v="2024-03-29T00:00:00"/>
    <s v="AD004"/>
    <x v="0"/>
    <x v="0"/>
    <x v="2"/>
    <n v="94022"/>
    <n v="2854"/>
    <n v="695"/>
    <n v="411"/>
    <n v="192"/>
    <n v="58116.78"/>
    <x v="117"/>
    <x v="1"/>
    <n v="3.0354597860075305"/>
    <n v="20.363272599859844"/>
    <n v="24.351786965662228"/>
    <n v="302.69156249999997"/>
    <n v="22.781676823802005"/>
  </r>
  <r>
    <d v="2024-03-30T00:00:00"/>
    <s v="AD001"/>
    <x v="1"/>
    <x v="1"/>
    <x v="0"/>
    <n v="168427"/>
    <n v="7496"/>
    <n v="1354"/>
    <n v="707"/>
    <n v="399"/>
    <n v="121004.62"/>
    <x v="118"/>
    <x v="1"/>
    <n v="4.450592838440393"/>
    <n v="16.142558697972252"/>
    <n v="18.062966915688367"/>
    <n v="303.26972431077695"/>
    <n v="22.974412629864876"/>
  </r>
  <r>
    <d v="2024-03-30T00:00:00"/>
    <s v="AD004"/>
    <x v="0"/>
    <x v="0"/>
    <x v="0"/>
    <n v="153437"/>
    <n v="5657"/>
    <n v="1049"/>
    <n v="519"/>
    <n v="211"/>
    <n v="147977.24"/>
    <x v="119"/>
    <x v="2"/>
    <n v="3.6868551913814787"/>
    <n v="26.158253491249777"/>
    <n v="18.543397560544459"/>
    <n v="701.31393364928908"/>
    <n v="7.8480596070044291"/>
  </r>
  <r>
    <d v="2024-03-31T00:00:00"/>
    <s v="AD001"/>
    <x v="1"/>
    <x v="1"/>
    <x v="0"/>
    <n v="80636"/>
    <n v="5687"/>
    <n v="1072"/>
    <n v="607"/>
    <n v="344"/>
    <n v="59284.93"/>
    <x v="120"/>
    <x v="2"/>
    <n v="7.0526811845825685"/>
    <n v="10.424640407947951"/>
    <n v="18.850008791981711"/>
    <n v="172.33991279069767"/>
    <n v="38.607003162523768"/>
  </r>
  <r>
    <d v="2024-03-31T00:00:00"/>
    <s v="AD004"/>
    <x v="0"/>
    <x v="0"/>
    <x v="2"/>
    <n v="158630"/>
    <n v="4927"/>
    <n v="822"/>
    <n v="475"/>
    <n v="264"/>
    <n v="141499.38"/>
    <x v="121"/>
    <x v="2"/>
    <n v="3.1059698669860683"/>
    <n v="28.719175969149585"/>
    <n v="16.683580271970776"/>
    <n v="535.98250000000007"/>
    <n v="8.0627615470823972"/>
  </r>
  <r>
    <d v="2024-04-01T00:00:00"/>
    <s v="AD001"/>
    <x v="1"/>
    <x v="1"/>
    <x v="0"/>
    <n v="186499"/>
    <n v="6536"/>
    <n v="1354"/>
    <n v="621"/>
    <n v="368"/>
    <n v="85229.02"/>
    <x v="122"/>
    <x v="0"/>
    <n v="3.5045764320452122"/>
    <n v="13.039935740514077"/>
    <n v="20.716034271725825"/>
    <n v="231.60059782608695"/>
    <n v="30.948541353637527"/>
  </r>
  <r>
    <d v="2024-04-02T00:00:00"/>
    <s v="AD001"/>
    <x v="1"/>
    <x v="1"/>
    <x v="0"/>
    <n v="280440"/>
    <n v="19647"/>
    <n v="3222"/>
    <n v="1784"/>
    <n v="885"/>
    <n v="254339"/>
    <x v="123"/>
    <x v="1"/>
    <n v="7.005776636713736"/>
    <n v="12.945436962386115"/>
    <n v="16.399450297755383"/>
    <n v="287.38870056497177"/>
    <n v="16.694621155229832"/>
  </r>
  <r>
    <d v="2024-04-03T00:00:00"/>
    <s v="AD001"/>
    <x v="1"/>
    <x v="1"/>
    <x v="0"/>
    <n v="79911"/>
    <n v="2837"/>
    <n v="458"/>
    <n v="283"/>
    <n v="153"/>
    <n v="34959.15"/>
    <x v="124"/>
    <x v="4"/>
    <n v="3.5501995970517202"/>
    <n v="12.322576665491717"/>
    <n v="16.143813887909765"/>
    <n v="228.49117647058824"/>
    <n v="16.724163487956659"/>
  </r>
  <r>
    <d v="2024-04-04T00:00:00"/>
    <s v="AD001"/>
    <x v="1"/>
    <x v="1"/>
    <x v="0"/>
    <n v="274653"/>
    <n v="14146"/>
    <n v="2816"/>
    <n v="1386"/>
    <n v="561"/>
    <n v="208104.41"/>
    <x v="125"/>
    <x v="0"/>
    <n v="5.1504989932751508"/>
    <n v="14.711184080305387"/>
    <n v="19.906687402799378"/>
    <n v="370.95260249554366"/>
    <n v="18.706176721579325"/>
  </r>
  <r>
    <d v="2024-04-05T00:00:00"/>
    <s v="AD001"/>
    <x v="1"/>
    <x v="1"/>
    <x v="0"/>
    <n v="165340"/>
    <n v="10645"/>
    <n v="1684"/>
    <n v="807"/>
    <n v="389"/>
    <n v="129203.32"/>
    <x v="126"/>
    <x v="0"/>
    <n v="6.4382484577234793"/>
    <n v="12.137465476749648"/>
    <n v="15.819633630812588"/>
    <n v="332.14221079691521"/>
    <n v="23.364285917730285"/>
  </r>
  <r>
    <d v="2024-04-06T00:00:00"/>
    <s v="AD001"/>
    <x v="1"/>
    <x v="1"/>
    <x v="0"/>
    <n v="282778"/>
    <n v="15067"/>
    <n v="2772"/>
    <n v="1717"/>
    <n v="949"/>
    <n v="219848.01"/>
    <x v="127"/>
    <x v="0"/>
    <n v="5.3282079935497109"/>
    <n v="14.591359261963232"/>
    <n v="18.397823057012015"/>
    <n v="231.662813487882"/>
    <n v="23.45620017210981"/>
  </r>
  <r>
    <d v="2024-04-07T00:00:00"/>
    <s v="AD001"/>
    <x v="1"/>
    <x v="1"/>
    <x v="0"/>
    <n v="285987"/>
    <n v="22561"/>
    <n v="5121"/>
    <n v="2466"/>
    <n v="1091"/>
    <n v="146348.42000000001"/>
    <x v="128"/>
    <x v="3"/>
    <n v="7.8888201211943203"/>
    <n v="6.4867878196888444"/>
    <n v="22.698461947608706"/>
    <n v="134.14153987167737"/>
    <n v="26.459558155803798"/>
  </r>
  <r>
    <d v="2024-04-08T00:00:00"/>
    <s v="AD001"/>
    <x v="1"/>
    <x v="1"/>
    <x v="0"/>
    <n v="200034"/>
    <n v="14443"/>
    <n v="3338"/>
    <n v="1578"/>
    <n v="716"/>
    <n v="189341.96"/>
    <x v="129"/>
    <x v="3"/>
    <n v="7.2202725536658772"/>
    <n v="13.109600498511389"/>
    <n v="23.111541923423111"/>
    <n v="264.44407821229049"/>
    <n v="28.580663947917301"/>
  </r>
  <r>
    <d v="2024-04-09T00:00:00"/>
    <s v="AD001"/>
    <x v="1"/>
    <x v="1"/>
    <x v="0"/>
    <n v="114098"/>
    <n v="4796"/>
    <n v="979"/>
    <n v="559"/>
    <n v="277"/>
    <n v="95244.65"/>
    <x v="130"/>
    <x v="3"/>
    <n v="4.2034040912198281"/>
    <n v="19.859184737281065"/>
    <n v="20.412844036697248"/>
    <n v="343.84350180505413"/>
    <n v="15.756340329876798"/>
  </r>
  <r>
    <d v="2024-04-10T00:00:00"/>
    <s v="AD001"/>
    <x v="1"/>
    <x v="1"/>
    <x v="0"/>
    <n v="230730"/>
    <n v="8044"/>
    <n v="1273"/>
    <n v="591"/>
    <n v="285"/>
    <n v="100417.85"/>
    <x v="131"/>
    <x v="1"/>
    <n v="3.4863260087548218"/>
    <n v="12.483571606166088"/>
    <n v="15.825459970164097"/>
    <n v="352.34333333333336"/>
    <n v="20.768242399135211"/>
  </r>
  <r>
    <d v="2024-04-11T00:00:00"/>
    <s v="AD001"/>
    <x v="1"/>
    <x v="1"/>
    <x v="0"/>
    <n v="221570"/>
    <n v="12355"/>
    <n v="2256"/>
    <n v="1301"/>
    <n v="521"/>
    <n v="200217.89"/>
    <x v="132"/>
    <x v="3"/>
    <n v="5.5761159001669895"/>
    <n v="16.205414002428167"/>
    <n v="18.259813840550386"/>
    <n v="384.29537428023036"/>
    <n v="12.598477488699935"/>
  </r>
  <r>
    <d v="2024-04-12T00:00:00"/>
    <s v="AD001"/>
    <x v="1"/>
    <x v="1"/>
    <x v="0"/>
    <n v="241871"/>
    <n v="18824"/>
    <n v="3533"/>
    <n v="2181"/>
    <n v="917"/>
    <n v="126584.31"/>
    <x v="133"/>
    <x v="4"/>
    <n v="7.7826610052465979"/>
    <n v="6.7246233531661703"/>
    <n v="18.768593285167871"/>
    <n v="138.04177753544167"/>
    <n v="55.991747397446019"/>
  </r>
  <r>
    <d v="2024-04-13T00:00:00"/>
    <s v="AD001"/>
    <x v="1"/>
    <x v="1"/>
    <x v="0"/>
    <n v="288853"/>
    <n v="12032"/>
    <n v="2732"/>
    <n v="1717"/>
    <n v="785"/>
    <n v="202094.55"/>
    <x v="134"/>
    <x v="2"/>
    <n v="4.1654405528071372"/>
    <n v="16.796422041223405"/>
    <n v="22.706117021276594"/>
    <n v="257.44528662420379"/>
    <n v="11.86658338881479"/>
  </r>
  <r>
    <d v="2024-04-14T00:00:00"/>
    <s v="AD001"/>
    <x v="1"/>
    <x v="1"/>
    <x v="0"/>
    <n v="213540"/>
    <n v="14462"/>
    <n v="3456"/>
    <n v="1678"/>
    <n v="696"/>
    <n v="108897.67"/>
    <x v="135"/>
    <x v="0"/>
    <n v="6.7725016390371833"/>
    <n v="7.5299177153920622"/>
    <n v="23.897109666712765"/>
    <n v="156.46216954022989"/>
    <n v="31.514981358187004"/>
  </r>
  <r>
    <d v="2024-04-15T00:00:00"/>
    <s v="AD001"/>
    <x v="1"/>
    <x v="1"/>
    <x v="0"/>
    <n v="72233"/>
    <n v="3762"/>
    <n v="590"/>
    <n v="318"/>
    <n v="184"/>
    <n v="57707.1"/>
    <x v="136"/>
    <x v="0"/>
    <n v="5.2081458613099274"/>
    <n v="15.339473684210526"/>
    <n v="15.683147262094629"/>
    <n v="313.62554347826085"/>
    <n v="22.770532048915992"/>
  </r>
  <r>
    <d v="2024-04-16T00:00:00"/>
    <s v="AD001"/>
    <x v="1"/>
    <x v="1"/>
    <x v="0"/>
    <n v="167205"/>
    <n v="5074"/>
    <n v="1208"/>
    <n v="604"/>
    <n v="322"/>
    <n v="115667.4"/>
    <x v="137"/>
    <x v="0"/>
    <n v="3.0345982476600577"/>
    <n v="22.796097753251871"/>
    <n v="23.807646826960976"/>
    <n v="359.21552795031056"/>
    <n v="20.638523819157346"/>
  </r>
  <r>
    <d v="2024-04-17T00:00:00"/>
    <s v="AD001"/>
    <x v="1"/>
    <x v="1"/>
    <x v="0"/>
    <n v="234584"/>
    <n v="15677"/>
    <n v="3010"/>
    <n v="1913"/>
    <n v="842"/>
    <n v="190234.63"/>
    <x v="138"/>
    <x v="0"/>
    <n v="6.6828939740135738"/>
    <n v="12.134632263825987"/>
    <n v="19.200102060343177"/>
    <n v="225.93186460807601"/>
    <n v="21.16158614233381"/>
  </r>
  <r>
    <d v="2024-04-18T00:00:00"/>
    <s v="AD001"/>
    <x v="1"/>
    <x v="1"/>
    <x v="0"/>
    <n v="50267"/>
    <n v="3518"/>
    <n v="817"/>
    <n v="515"/>
    <n v="226"/>
    <n v="39781.589999999997"/>
    <x v="139"/>
    <x v="0"/>
    <n v="6.9986273300574924"/>
    <n v="11.308013075611141"/>
    <n v="23.223422399090392"/>
    <n v="176.02473451327432"/>
    <n v="22.456068498016297"/>
  </r>
  <r>
    <d v="2024-04-19T00:00:00"/>
    <s v="AD001"/>
    <x v="1"/>
    <x v="1"/>
    <x v="0"/>
    <n v="147737"/>
    <n v="9789"/>
    <n v="2427"/>
    <n v="1461"/>
    <n v="710"/>
    <n v="115882.02"/>
    <x v="140"/>
    <x v="4"/>
    <n v="6.62596370577445"/>
    <n v="11.837983450812137"/>
    <n v="24.793135151700888"/>
    <n v="163.21411267605635"/>
    <n v="43.14728695616455"/>
  </r>
  <r>
    <d v="2024-04-20T00:00:00"/>
    <s v="AD001"/>
    <x v="1"/>
    <x v="1"/>
    <x v="0"/>
    <n v="103945"/>
    <n v="5827"/>
    <n v="1089"/>
    <n v="686"/>
    <n v="290"/>
    <n v="45623.839999999997"/>
    <x v="141"/>
    <x v="4"/>
    <n v="5.6058492471980372"/>
    <n v="7.8297305646130075"/>
    <n v="18.688862193238371"/>
    <n v="157.32358620689655"/>
    <n v="28.306679578045163"/>
  </r>
  <r>
    <d v="2024-04-21T00:00:00"/>
    <s v="AD001"/>
    <x v="1"/>
    <x v="1"/>
    <x v="0"/>
    <n v="180309"/>
    <n v="13125"/>
    <n v="2445"/>
    <n v="1328"/>
    <n v="595"/>
    <n v="107078.07"/>
    <x v="142"/>
    <x v="4"/>
    <n v="7.2791707568673774"/>
    <n v="8.1583291428571432"/>
    <n v="18.628571428571426"/>
    <n v="179.96314285714286"/>
    <n v="44.065106515274316"/>
  </r>
  <r>
    <d v="2024-04-22T00:00:00"/>
    <s v="AD001"/>
    <x v="1"/>
    <x v="1"/>
    <x v="0"/>
    <n v="165998"/>
    <n v="7203"/>
    <n v="1295"/>
    <n v="834"/>
    <n v="489"/>
    <n v="155076.26999999999"/>
    <x v="143"/>
    <x v="4"/>
    <n v="4.3392089061313994"/>
    <n v="21.529400249895875"/>
    <n v="17.978620019436345"/>
    <n v="317.12938650306745"/>
    <n v="24.531198744978841"/>
  </r>
  <r>
    <d v="2024-04-23T00:00:00"/>
    <s v="AD001"/>
    <x v="1"/>
    <x v="1"/>
    <x v="0"/>
    <n v="204547"/>
    <n v="9363"/>
    <n v="1756"/>
    <n v="1126"/>
    <n v="509"/>
    <n v="150706.37"/>
    <x v="144"/>
    <x v="3"/>
    <n v="4.5774320816242717"/>
    <n v="16.095948947986756"/>
    <n v="18.754672647655664"/>
    <n v="296.08324165029467"/>
    <n v="14.730176899622759"/>
  </r>
  <r>
    <d v="2024-04-24T00:00:00"/>
    <s v="AD001"/>
    <x v="1"/>
    <x v="1"/>
    <x v="0"/>
    <n v="124784"/>
    <n v="7174"/>
    <n v="1288"/>
    <n v="783"/>
    <n v="351"/>
    <n v="103744.92"/>
    <x v="145"/>
    <x v="3"/>
    <n v="5.7491345044236439"/>
    <n v="14.461237803178143"/>
    <n v="17.953721773069418"/>
    <n v="295.56957264957265"/>
    <n v="17.021951918224044"/>
  </r>
  <r>
    <d v="2024-04-25T00:00:00"/>
    <s v="AD001"/>
    <x v="1"/>
    <x v="1"/>
    <x v="0"/>
    <n v="132967"/>
    <n v="10361"/>
    <n v="1745"/>
    <n v="990"/>
    <n v="467"/>
    <n v="65512.99"/>
    <x v="146"/>
    <x v="3"/>
    <n v="7.7921589567336262"/>
    <n v="6.3230373516069873"/>
    <n v="16.842003667599652"/>
    <n v="140.28477516059957"/>
    <n v="27.96432280071479"/>
  </r>
  <r>
    <d v="2024-04-26T00:00:00"/>
    <s v="AD001"/>
    <x v="1"/>
    <x v="1"/>
    <x v="0"/>
    <n v="260506"/>
    <n v="13356"/>
    <n v="3163"/>
    <n v="1998"/>
    <n v="854"/>
    <n v="256268.15"/>
    <x v="147"/>
    <x v="0"/>
    <n v="5.126945252700513"/>
    <n v="19.187492512728362"/>
    <n v="23.682240191674154"/>
    <n v="300.07980093676815"/>
    <n v="18.286641082787696"/>
  </r>
  <r>
    <d v="2024-04-27T00:00:00"/>
    <s v="AD001"/>
    <x v="1"/>
    <x v="1"/>
    <x v="0"/>
    <n v="229208"/>
    <n v="9355"/>
    <n v="2081"/>
    <n v="1043"/>
    <n v="469"/>
    <n v="178259.19"/>
    <x v="148"/>
    <x v="3"/>
    <n v="4.0814456737984717"/>
    <n v="19.054964190272582"/>
    <n v="22.244788882950296"/>
    <n v="380.0835607675906"/>
    <n v="15.003567950690229"/>
  </r>
  <r>
    <d v="2024-04-28T00:00:00"/>
    <s v="AD001"/>
    <x v="1"/>
    <x v="1"/>
    <x v="0"/>
    <n v="171241"/>
    <n v="7348"/>
    <n v="1294"/>
    <n v="719"/>
    <n v="302"/>
    <n v="85665.34"/>
    <x v="149"/>
    <x v="0"/>
    <n v="4.2910284336111095"/>
    <n v="11.658320631464344"/>
    <n v="17.610234077299946"/>
    <n v="283.66006622516556"/>
    <n v="22.64286594788511"/>
  </r>
  <r>
    <d v="2024-04-29T00:00:00"/>
    <s v="AD001"/>
    <x v="1"/>
    <x v="1"/>
    <x v="0"/>
    <n v="161956"/>
    <n v="10797"/>
    <n v="1786"/>
    <n v="1036"/>
    <n v="542"/>
    <n v="150183.85999999999"/>
    <x v="150"/>
    <x v="2"/>
    <n v="6.6666255032230977"/>
    <n v="13.909776789849031"/>
    <n v="16.541631934796701"/>
    <n v="277.09199261992615"/>
    <n v="14.885075666586278"/>
  </r>
  <r>
    <d v="2024-04-30T00:00:00"/>
    <s v="AD001"/>
    <x v="1"/>
    <x v="1"/>
    <x v="0"/>
    <n v="61492"/>
    <n v="4436"/>
    <n v="909"/>
    <n v="457"/>
    <n v="244"/>
    <n v="50083.82"/>
    <x v="151"/>
    <x v="0"/>
    <n v="7.2139465296298706"/>
    <n v="11.290311091073038"/>
    <n v="20.491433724075744"/>
    <n v="205.26155737704917"/>
    <n v="15.013677271422189"/>
  </r>
  <r>
    <d v="2024-05-01T00:00:00"/>
    <s v="AD001"/>
    <x v="1"/>
    <x v="1"/>
    <x v="0"/>
    <n v="203882"/>
    <n v="9925"/>
    <n v="2110"/>
    <n v="963"/>
    <n v="504"/>
    <n v="181726.55"/>
    <x v="152"/>
    <x v="4"/>
    <n v="4.8680118892300452"/>
    <n v="18.309979848866497"/>
    <n v="21.259445843828715"/>
    <n v="360.56855158730156"/>
    <n v="18.04467151332593"/>
  </r>
  <r>
    <d v="2024-05-02T00:00:00"/>
    <s v="AD001"/>
    <x v="1"/>
    <x v="1"/>
    <x v="0"/>
    <n v="52572"/>
    <n v="2746"/>
    <n v="633"/>
    <n v="286"/>
    <n v="115"/>
    <n v="31495.18"/>
    <x v="153"/>
    <x v="0"/>
    <n v="5.2233127900783689"/>
    <n v="11.469475600873999"/>
    <n v="23.051711580480699"/>
    <n v="273.87113043478263"/>
    <n v="22.907377573330269"/>
  </r>
  <r>
    <d v="2024-05-03T00:00:00"/>
    <s v="AD001"/>
    <x v="1"/>
    <x v="1"/>
    <x v="0"/>
    <n v="182398"/>
    <n v="9821"/>
    <n v="2358"/>
    <n v="1144"/>
    <n v="659"/>
    <n v="117138.56"/>
    <x v="154"/>
    <x v="3"/>
    <n v="5.3843792146843716"/>
    <n v="11.927355666429081"/>
    <n v="24.00977497199878"/>
    <n v="177.75198786039454"/>
    <n v="35.36014502824689"/>
  </r>
  <r>
    <d v="2024-05-04T00:00:00"/>
    <s v="AD001"/>
    <x v="1"/>
    <x v="1"/>
    <x v="0"/>
    <n v="291292"/>
    <n v="19445"/>
    <n v="3115"/>
    <n v="1736"/>
    <n v="1028"/>
    <n v="264152.71999999997"/>
    <x v="155"/>
    <x v="4"/>
    <n v="6.6754322123504934"/>
    <n v="13.584608896888659"/>
    <n v="16.019542298791464"/>
    <n v="256.9578988326848"/>
    <n v="23.772803134489781"/>
  </r>
  <r>
    <d v="2024-05-05T00:00:00"/>
    <s v="AD001"/>
    <x v="1"/>
    <x v="1"/>
    <x v="0"/>
    <n v="209896"/>
    <n v="11020"/>
    <n v="2016"/>
    <n v="1282"/>
    <n v="676"/>
    <n v="134786.32"/>
    <x v="156"/>
    <x v="0"/>
    <n v="5.2502191561535234"/>
    <n v="12.231063520871144"/>
    <n v="18.294010889292196"/>
    <n v="199.38804733727812"/>
    <n v="38.329497533577587"/>
  </r>
  <r>
    <d v="2024-05-06T00:00:00"/>
    <s v="AD001"/>
    <x v="1"/>
    <x v="1"/>
    <x v="0"/>
    <n v="212729"/>
    <n v="11086"/>
    <n v="2540"/>
    <n v="1442"/>
    <n v="785"/>
    <n v="148219.13"/>
    <x v="157"/>
    <x v="3"/>
    <n v="5.211325207188489"/>
    <n v="13.3699377593361"/>
    <n v="22.911780624210717"/>
    <n v="188.81417834394904"/>
    <n v="16.216045931452978"/>
  </r>
  <r>
    <d v="2024-05-07T00:00:00"/>
    <s v="AD001"/>
    <x v="1"/>
    <x v="1"/>
    <x v="0"/>
    <n v="53575"/>
    <n v="1779"/>
    <n v="383"/>
    <n v="198"/>
    <n v="83"/>
    <n v="31495.13"/>
    <x v="158"/>
    <x v="4"/>
    <n v="3.3205786280914604"/>
    <n v="17.703839235525578"/>
    <n v="21.52894884766723"/>
    <n v="379.45939759036145"/>
    <n v="17.875368033089561"/>
  </r>
  <r>
    <d v="2024-05-08T00:00:00"/>
    <s v="AD001"/>
    <x v="1"/>
    <x v="1"/>
    <x v="0"/>
    <n v="77717"/>
    <n v="5458"/>
    <n v="1240"/>
    <n v="600"/>
    <n v="252"/>
    <n v="39733.879999999997"/>
    <x v="159"/>
    <x v="1"/>
    <n v="7.0229164790200347"/>
    <n v="7.2799340417735428"/>
    <n v="22.718944668376693"/>
    <n v="157.67412698412699"/>
    <n v="34.590949839280732"/>
  </r>
  <r>
    <d v="2024-05-09T00:00:00"/>
    <s v="AD001"/>
    <x v="1"/>
    <x v="1"/>
    <x v="0"/>
    <n v="254812"/>
    <n v="8231"/>
    <n v="1789"/>
    <n v="905"/>
    <n v="508"/>
    <n v="214463"/>
    <x v="160"/>
    <x v="3"/>
    <n v="3.2302246362023763"/>
    <n v="26.055521807799781"/>
    <n v="21.734904628842184"/>
    <n v="422.1712598425197"/>
    <n v="17.312413190154011"/>
  </r>
  <r>
    <d v="2024-05-10T00:00:00"/>
    <s v="AD001"/>
    <x v="1"/>
    <x v="1"/>
    <x v="0"/>
    <n v="159338"/>
    <n v="8621"/>
    <n v="1987"/>
    <n v="1010"/>
    <n v="560"/>
    <n v="121166.88"/>
    <x v="161"/>
    <x v="3"/>
    <n v="5.4105109892178893"/>
    <n v="14.054852105324208"/>
    <n v="23.04837025867069"/>
    <n v="216.36942857142859"/>
    <n v="23.417344327096643"/>
  </r>
  <r>
    <d v="2024-05-11T00:00:00"/>
    <s v="AD001"/>
    <x v="1"/>
    <x v="1"/>
    <x v="0"/>
    <n v="107691"/>
    <n v="5395"/>
    <n v="912"/>
    <n v="434"/>
    <n v="235"/>
    <n v="50972.7"/>
    <x v="162"/>
    <x v="1"/>
    <n v="5.0097036892590836"/>
    <n v="9.4481371640407783"/>
    <n v="16.904541241890637"/>
    <n v="216.90510638297872"/>
    <n v="25.491255122840268"/>
  </r>
  <r>
    <d v="2024-05-12T00:00:00"/>
    <s v="AD001"/>
    <x v="1"/>
    <x v="1"/>
    <x v="0"/>
    <n v="150217"/>
    <n v="9087"/>
    <n v="1717"/>
    <n v="921"/>
    <n v="420"/>
    <n v="84200.07"/>
    <x v="163"/>
    <x v="1"/>
    <n v="6.0492487534699801"/>
    <n v="9.2659920765929353"/>
    <n v="18.895124903708592"/>
    <n v="200.47635714285715"/>
    <n v="26.351877735968628"/>
  </r>
  <r>
    <d v="2024-05-13T00:00:00"/>
    <s v="AD001"/>
    <x v="1"/>
    <x v="1"/>
    <x v="0"/>
    <n v="227093"/>
    <n v="11820"/>
    <n v="2504"/>
    <n v="1225"/>
    <n v="522"/>
    <n v="192460.38"/>
    <x v="164"/>
    <x v="1"/>
    <n v="5.2049160476104497"/>
    <n v="16.282604060913705"/>
    <n v="21.184433164128595"/>
    <n v="368.69804597701147"/>
    <n v="12.275502209857425"/>
  </r>
  <r>
    <d v="2024-05-14T00:00:00"/>
    <s v="AD001"/>
    <x v="1"/>
    <x v="1"/>
    <x v="0"/>
    <n v="212823"/>
    <n v="12602"/>
    <n v="1904"/>
    <n v="1005"/>
    <n v="425"/>
    <n v="107267.35"/>
    <x v="165"/>
    <x v="0"/>
    <n v="5.921352485398665"/>
    <n v="8.5119306459292172"/>
    <n v="15.108712902713856"/>
    <n v="252.39376470588238"/>
    <n v="17.827743763596285"/>
  </r>
  <r>
    <d v="2024-05-15T00:00:00"/>
    <s v="AD001"/>
    <x v="1"/>
    <x v="1"/>
    <x v="0"/>
    <n v="129087"/>
    <n v="4033"/>
    <n v="640"/>
    <n v="346"/>
    <n v="198"/>
    <n v="101205.53"/>
    <x v="166"/>
    <x v="0"/>
    <n v="3.124249537133871"/>
    <n v="25.094354078849491"/>
    <n v="15.869080089263576"/>
    <n v="511.13904040404037"/>
    <n v="15.631202761351084"/>
  </r>
  <r>
    <d v="2024-05-16T00:00:00"/>
    <s v="AD001"/>
    <x v="1"/>
    <x v="1"/>
    <x v="0"/>
    <n v="95904"/>
    <n v="4183"/>
    <n v="667"/>
    <n v="322"/>
    <n v="147"/>
    <n v="66125.77"/>
    <x v="167"/>
    <x v="1"/>
    <n v="4.3616533199866536"/>
    <n v="15.808216590963424"/>
    <n v="15.945493664833851"/>
    <n v="449.83517006802725"/>
    <n v="11.368260815715264"/>
  </r>
  <r>
    <d v="2024-05-17T00:00:00"/>
    <s v="AD001"/>
    <x v="1"/>
    <x v="1"/>
    <x v="0"/>
    <n v="135876"/>
    <n v="8214"/>
    <n v="1729"/>
    <n v="909"/>
    <n v="441"/>
    <n v="85485.01"/>
    <x v="168"/>
    <x v="3"/>
    <n v="6.0452176984897994"/>
    <n v="10.407232773313854"/>
    <n v="21.049427806184561"/>
    <n v="193.84356009070294"/>
    <n v="31.587923075636304"/>
  </r>
  <r>
    <d v="2024-05-18T00:00:00"/>
    <s v="AD001"/>
    <x v="1"/>
    <x v="1"/>
    <x v="0"/>
    <n v="280625"/>
    <n v="14687"/>
    <n v="2934"/>
    <n v="1372"/>
    <n v="655"/>
    <n v="191298.55"/>
    <x v="169"/>
    <x v="3"/>
    <n v="5.2336748329621381"/>
    <n v="13.025025532784094"/>
    <n v="19.976850275754067"/>
    <n v="292.05885496183203"/>
    <n v="20.809287001914026"/>
  </r>
  <r>
    <d v="2024-05-19T00:00:00"/>
    <s v="AD001"/>
    <x v="1"/>
    <x v="1"/>
    <x v="0"/>
    <n v="99328"/>
    <n v="5165"/>
    <n v="1149"/>
    <n v="717"/>
    <n v="314"/>
    <n v="59406.59"/>
    <x v="170"/>
    <x v="3"/>
    <n v="5.1999436211340209"/>
    <n v="11.501759922555662"/>
    <n v="22.245885769603095"/>
    <n v="189.19296178343947"/>
    <n v="20.516912517617996"/>
  </r>
  <r>
    <d v="2024-05-20T00:00:00"/>
    <s v="AD001"/>
    <x v="1"/>
    <x v="1"/>
    <x v="0"/>
    <n v="144094"/>
    <n v="11075"/>
    <n v="2057"/>
    <n v="1117"/>
    <n v="577"/>
    <n v="118500.5"/>
    <x v="171"/>
    <x v="1"/>
    <n v="7.6859550015961799"/>
    <n v="10.69981941309255"/>
    <n v="18.57336343115124"/>
    <n v="205.37348353552861"/>
    <n v="26.821358981607673"/>
  </r>
  <r>
    <d v="2024-05-21T00:00:00"/>
    <s v="AD001"/>
    <x v="1"/>
    <x v="1"/>
    <x v="0"/>
    <n v="257103"/>
    <n v="13993"/>
    <n v="3038"/>
    <n v="1674"/>
    <n v="939"/>
    <n v="151753.51"/>
    <x v="172"/>
    <x v="4"/>
    <n v="5.4425658199243099"/>
    <n v="10.844958908025442"/>
    <n v="21.710855427713856"/>
    <n v="161.61183173588924"/>
    <n v="37.660131090213333"/>
  </r>
  <r>
    <d v="2024-05-22T00:00:00"/>
    <s v="AD001"/>
    <x v="1"/>
    <x v="1"/>
    <x v="0"/>
    <n v="209828"/>
    <n v="14119"/>
    <n v="2701"/>
    <n v="1585"/>
    <n v="667"/>
    <n v="164161.53"/>
    <x v="173"/>
    <x v="1"/>
    <n v="6.7288445774634456"/>
    <n v="11.626994121396699"/>
    <n v="19.130250017706636"/>
    <n v="246.11923538230883"/>
    <n v="22.841382509044596"/>
  </r>
  <r>
    <d v="2024-05-23T00:00:00"/>
    <s v="AD001"/>
    <x v="1"/>
    <x v="1"/>
    <x v="0"/>
    <n v="218859"/>
    <n v="11905"/>
    <n v="1854"/>
    <n v="941"/>
    <n v="482"/>
    <n v="120754.52"/>
    <x v="174"/>
    <x v="2"/>
    <n v="5.4395752516460369"/>
    <n v="10.14317681646367"/>
    <n v="15.573288534229315"/>
    <n v="250.52804979253114"/>
    <n v="12.949746643024211"/>
  </r>
  <r>
    <d v="2024-05-24T00:00:00"/>
    <s v="AD001"/>
    <x v="1"/>
    <x v="1"/>
    <x v="0"/>
    <n v="210510"/>
    <n v="12742"/>
    <n v="2399"/>
    <n v="1408"/>
    <n v="810"/>
    <n v="182684.18"/>
    <x v="175"/>
    <x v="0"/>
    <n v="6.0529191012303452"/>
    <n v="14.337166849788101"/>
    <n v="18.827499607596923"/>
    <n v="225.53602469135802"/>
    <n v="33.716841983799583"/>
  </r>
  <r>
    <d v="2024-05-25T00:00:00"/>
    <s v="AD001"/>
    <x v="1"/>
    <x v="1"/>
    <x v="0"/>
    <n v="112134"/>
    <n v="3488"/>
    <n v="542"/>
    <n v="286"/>
    <n v="159"/>
    <n v="76411.33"/>
    <x v="176"/>
    <x v="1"/>
    <n v="3.110564146467619"/>
    <n v="21.906918004587155"/>
    <n v="15.538990825688073"/>
    <n v="480.57440251572331"/>
    <n v="6.8163223961682124"/>
  </r>
  <r>
    <d v="2024-05-26T00:00:00"/>
    <s v="AD001"/>
    <x v="1"/>
    <x v="1"/>
    <x v="0"/>
    <n v="167323"/>
    <n v="6870"/>
    <n v="1386"/>
    <n v="656"/>
    <n v="339"/>
    <n v="154889.76"/>
    <x v="177"/>
    <x v="0"/>
    <n v="4.1058312365903067"/>
    <n v="22.545816593886464"/>
    <n v="20.174672489082969"/>
    <n v="456.90194690265491"/>
    <n v="17.363523256798899"/>
  </r>
  <r>
    <d v="2024-05-27T00:00:00"/>
    <s v="AD001"/>
    <x v="1"/>
    <x v="1"/>
    <x v="0"/>
    <n v="71573"/>
    <n v="3385"/>
    <n v="572"/>
    <n v="368"/>
    <n v="169"/>
    <n v="37172.300000000003"/>
    <x v="178"/>
    <x v="4"/>
    <n v="4.7294370782278232"/>
    <n v="10.981477104874447"/>
    <n v="16.898079763663219"/>
    <n v="219.9544378698225"/>
    <n v="34.988489547324214"/>
  </r>
  <r>
    <d v="2024-05-28T00:00:00"/>
    <s v="AD001"/>
    <x v="1"/>
    <x v="1"/>
    <x v="0"/>
    <n v="157823"/>
    <n v="9513"/>
    <n v="2121"/>
    <n v="1051"/>
    <n v="506"/>
    <n v="109850.41"/>
    <x v="179"/>
    <x v="4"/>
    <n v="6.0276385571177835"/>
    <n v="11.547399348260276"/>
    <n v="22.29580573951435"/>
    <n v="217.09567193675889"/>
    <n v="33.398726049361123"/>
  </r>
  <r>
    <d v="2024-05-29T00:00:00"/>
    <s v="AD001"/>
    <x v="1"/>
    <x v="1"/>
    <x v="0"/>
    <n v="170857"/>
    <n v="13220"/>
    <n v="2821"/>
    <n v="1398"/>
    <n v="619"/>
    <n v="96132.33"/>
    <x v="180"/>
    <x v="1"/>
    <n v="7.7374646634319939"/>
    <n v="7.2717344931921328"/>
    <n v="21.338880484114977"/>
    <n v="155.30263327948305"/>
    <n v="47.343718289154126"/>
  </r>
  <r>
    <d v="2024-05-30T00:00:00"/>
    <s v="AD001"/>
    <x v="1"/>
    <x v="1"/>
    <x v="0"/>
    <n v="286098"/>
    <n v="8605"/>
    <n v="1496"/>
    <n v="757"/>
    <n v="307"/>
    <n v="284695.90999999997"/>
    <x v="181"/>
    <x v="1"/>
    <n v="3.0077106446042965"/>
    <n v="33.084940151074953"/>
    <n v="17.385241138872747"/>
    <n v="927.34824104234519"/>
    <n v="8.070786615796484"/>
  </r>
  <r>
    <d v="2024-05-31T00:00:00"/>
    <s v="AD001"/>
    <x v="1"/>
    <x v="1"/>
    <x v="0"/>
    <n v="179655"/>
    <n v="7512"/>
    <n v="1329"/>
    <n v="827"/>
    <n v="420"/>
    <n v="177940.53"/>
    <x v="182"/>
    <x v="4"/>
    <n v="4.1813475828671622"/>
    <n v="23.687503993610225"/>
    <n v="17.691693290734825"/>
    <n v="423.66792857142855"/>
    <n v="15.592020772333319"/>
  </r>
  <r>
    <d v="2024-06-01T00:00:00"/>
    <s v="AD001"/>
    <x v="1"/>
    <x v="1"/>
    <x v="0"/>
    <n v="200920"/>
    <n v="10462"/>
    <n v="2244"/>
    <n v="1338"/>
    <n v="750"/>
    <n v="142412.10999999999"/>
    <x v="183"/>
    <x v="0"/>
    <n v="5.2070475811268171"/>
    <n v="13.612321735805772"/>
    <n v="21.449053718218313"/>
    <n v="189.8828133333333"/>
    <n v="29.790095519264483"/>
  </r>
  <r>
    <d v="2024-06-02T00:00:00"/>
    <s v="AD001"/>
    <x v="1"/>
    <x v="1"/>
    <x v="0"/>
    <n v="277733"/>
    <n v="19722"/>
    <n v="3356"/>
    <n v="1999"/>
    <n v="1087"/>
    <n v="267369.15000000002"/>
    <x v="184"/>
    <x v="2"/>
    <n v="7.1010646916282907"/>
    <n v="13.556898387587466"/>
    <n v="17.016529763715649"/>
    <n v="245.96977920883168"/>
    <n v="24.810078126066525"/>
  </r>
  <r>
    <d v="2024-06-03T00:00:00"/>
    <s v="AD001"/>
    <x v="1"/>
    <x v="1"/>
    <x v="0"/>
    <n v="163525"/>
    <n v="6314"/>
    <n v="1573"/>
    <n v="794"/>
    <n v="445"/>
    <n v="161244.1"/>
    <x v="185"/>
    <x v="2"/>
    <n v="3.8611833053049995"/>
    <n v="25.537551472917329"/>
    <n v="24.912891986062718"/>
    <n v="362.34629213483146"/>
    <n v="17.936689280413979"/>
  </r>
  <r>
    <d v="2024-06-04T00:00:00"/>
    <s v="AD001"/>
    <x v="1"/>
    <x v="1"/>
    <x v="0"/>
    <n v="57200"/>
    <n v="2876"/>
    <n v="542"/>
    <n v="295"/>
    <n v="144"/>
    <n v="40656.160000000003"/>
    <x v="186"/>
    <x v="1"/>
    <n v="5.0279720279720284"/>
    <n v="14.136356050069542"/>
    <n v="18.845618915159946"/>
    <n v="282.33444444444444"/>
    <n v="27.830458410238446"/>
  </r>
  <r>
    <d v="2024-06-05T00:00:00"/>
    <s v="AD001"/>
    <x v="1"/>
    <x v="1"/>
    <x v="0"/>
    <n v="138496"/>
    <n v="6165"/>
    <n v="1152"/>
    <n v="534"/>
    <n v="238"/>
    <n v="78355.929999999993"/>
    <x v="187"/>
    <x v="0"/>
    <n v="4.4513920979667283"/>
    <n v="12.709802108678019"/>
    <n v="18.686131386861312"/>
    <n v="329.22659663865545"/>
    <n v="21.265043628478409"/>
  </r>
  <r>
    <d v="2024-06-06T00:00:00"/>
    <s v="AD001"/>
    <x v="1"/>
    <x v="1"/>
    <x v="0"/>
    <n v="173098"/>
    <n v="12987"/>
    <n v="2605"/>
    <n v="1205"/>
    <n v="678"/>
    <n v="171934.55"/>
    <x v="188"/>
    <x v="2"/>
    <n v="7.5026863395302081"/>
    <n v="13.238973588973588"/>
    <n v="20.058520058520056"/>
    <n v="253.59078171091443"/>
    <n v="27.346945102075182"/>
  </r>
  <r>
    <d v="2024-06-07T00:00:00"/>
    <s v="AD001"/>
    <x v="1"/>
    <x v="1"/>
    <x v="0"/>
    <n v="132867"/>
    <n v="6166"/>
    <n v="1353"/>
    <n v="871"/>
    <n v="423"/>
    <n v="110775.88"/>
    <x v="189"/>
    <x v="1"/>
    <n v="4.6407309565204304"/>
    <n v="17.965598443074928"/>
    <n v="21.942912747324034"/>
    <n v="261.8815130023641"/>
    <n v="17.030956377868538"/>
  </r>
  <r>
    <d v="2024-06-08T00:00:00"/>
    <s v="AD001"/>
    <x v="1"/>
    <x v="1"/>
    <x v="0"/>
    <n v="78405"/>
    <n v="5902"/>
    <n v="1106"/>
    <n v="584"/>
    <n v="309"/>
    <n v="59265.23"/>
    <x v="190"/>
    <x v="3"/>
    <n v="7.5275811491614055"/>
    <n v="10.041550321924772"/>
    <n v="18.739410369366315"/>
    <n v="191.79686084142395"/>
    <n v="27.418993396296614"/>
  </r>
  <r>
    <d v="2024-06-09T00:00:00"/>
    <s v="AD001"/>
    <x v="1"/>
    <x v="1"/>
    <x v="0"/>
    <n v="123612"/>
    <n v="8089"/>
    <n v="1527"/>
    <n v="775"/>
    <n v="424"/>
    <n v="113946.27"/>
    <x v="191"/>
    <x v="3"/>
    <n v="6.5438630553667929"/>
    <n v="14.08657065150204"/>
    <n v="18.87748794659414"/>
    <n v="268.74120283018868"/>
    <n v="27.616973245372577"/>
  </r>
  <r>
    <d v="2024-06-10T00:00:00"/>
    <s v="AD001"/>
    <x v="1"/>
    <x v="1"/>
    <x v="0"/>
    <n v="195933"/>
    <n v="8997"/>
    <n v="1665"/>
    <n v="915"/>
    <n v="447"/>
    <n v="189378.11"/>
    <x v="192"/>
    <x v="1"/>
    <n v="4.5918757942766151"/>
    <n v="21.049028565077247"/>
    <n v="18.506168722907638"/>
    <n v="423.6646756152125"/>
    <n v="14.45176440930792"/>
  </r>
  <r>
    <d v="2024-06-11T00:00:00"/>
    <s v="AD001"/>
    <x v="1"/>
    <x v="1"/>
    <x v="0"/>
    <n v="107645"/>
    <n v="6490"/>
    <n v="1396"/>
    <n v="669"/>
    <n v="394"/>
    <n v="64452.160000000003"/>
    <x v="193"/>
    <x v="4"/>
    <n v="6.0290770588508522"/>
    <n v="9.9309953775038533"/>
    <n v="21.510015408320491"/>
    <n v="163.58416243654824"/>
    <n v="33.361341342167577"/>
  </r>
  <r>
    <d v="2024-06-12T00:00:00"/>
    <s v="AD001"/>
    <x v="1"/>
    <x v="1"/>
    <x v="0"/>
    <n v="126990"/>
    <n v="3967"/>
    <n v="640"/>
    <n v="342"/>
    <n v="195"/>
    <n v="78557.41"/>
    <x v="194"/>
    <x v="4"/>
    <n v="3.1238680211040237"/>
    <n v="19.802724981094027"/>
    <n v="16.13309805898664"/>
    <n v="402.85851282051283"/>
    <n v="10.407164009098569"/>
  </r>
  <r>
    <d v="2024-06-13T00:00:00"/>
    <s v="AD001"/>
    <x v="1"/>
    <x v="1"/>
    <x v="0"/>
    <n v="173173"/>
    <n v="6384"/>
    <n v="1547"/>
    <n v="788"/>
    <n v="399"/>
    <n v="127532.25"/>
    <x v="195"/>
    <x v="2"/>
    <n v="3.686486923481143"/>
    <n v="19.976856203007518"/>
    <n v="24.232456140350877"/>
    <n v="319.62969924812029"/>
    <n v="21.041561565800023"/>
  </r>
  <r>
    <d v="2024-06-14T00:00:00"/>
    <s v="AD001"/>
    <x v="1"/>
    <x v="1"/>
    <x v="0"/>
    <n v="267033"/>
    <n v="20262"/>
    <n v="3713"/>
    <n v="2404"/>
    <n v="1299"/>
    <n v="216742.23"/>
    <x v="196"/>
    <x v="3"/>
    <n v="7.5878262237251581"/>
    <n v="10.696981048267693"/>
    <n v="18.32494324351002"/>
    <n v="166.85314087759815"/>
    <n v="36.648732552027354"/>
  </r>
  <r>
    <d v="2024-06-15T00:00:00"/>
    <s v="AD001"/>
    <x v="1"/>
    <x v="1"/>
    <x v="0"/>
    <n v="132726"/>
    <n v="7918"/>
    <n v="1387"/>
    <n v="700"/>
    <n v="353"/>
    <n v="57062.19"/>
    <x v="197"/>
    <x v="2"/>
    <n v="5.9656736434458963"/>
    <n v="7.2066418287446332"/>
    <n v="17.517049760040415"/>
    <n v="161.64926345609067"/>
    <n v="33.578332692804111"/>
  </r>
  <r>
    <d v="2024-06-16T00:00:00"/>
    <s v="AD001"/>
    <x v="1"/>
    <x v="1"/>
    <x v="0"/>
    <n v="251270"/>
    <n v="9386"/>
    <n v="1500"/>
    <n v="689"/>
    <n v="349"/>
    <n v="244867.93"/>
    <x v="198"/>
    <x v="1"/>
    <n v="3.7354240458470969"/>
    <n v="26.088635201363733"/>
    <n v="15.981248668229279"/>
    <n v="701.62730659025783"/>
    <n v="9.9124613419160283"/>
  </r>
  <r>
    <d v="2024-06-17T00:00:00"/>
    <s v="AD001"/>
    <x v="1"/>
    <x v="1"/>
    <x v="0"/>
    <n v="207125"/>
    <n v="16396"/>
    <n v="3081"/>
    <n v="1427"/>
    <n v="767"/>
    <n v="130264.98"/>
    <x v="199"/>
    <x v="0"/>
    <n v="7.9159927579963787"/>
    <n v="7.9449243717979989"/>
    <n v="18.791168577701878"/>
    <n v="169.83700130378097"/>
    <n v="40.026444866456053"/>
  </r>
  <r>
    <d v="2024-06-18T00:00:00"/>
    <s v="AD001"/>
    <x v="1"/>
    <x v="1"/>
    <x v="0"/>
    <n v="224667"/>
    <n v="15878"/>
    <n v="3948"/>
    <n v="2098"/>
    <n v="1224"/>
    <n v="195773.85"/>
    <x v="200"/>
    <x v="2"/>
    <n v="7.0673485647647398"/>
    <n v="12.329880967376244"/>
    <n v="24.864592517949362"/>
    <n v="159.94595588235293"/>
    <n v="22.186991725401526"/>
  </r>
  <r>
    <d v="2024-06-19T00:00:00"/>
    <s v="AD001"/>
    <x v="1"/>
    <x v="1"/>
    <x v="0"/>
    <n v="295874"/>
    <n v="20384"/>
    <n v="3505"/>
    <n v="2023"/>
    <n v="974"/>
    <n v="195140.62"/>
    <x v="201"/>
    <x v="2"/>
    <n v="6.8894191446358928"/>
    <n v="9.5732250784929356"/>
    <n v="17.194858712715856"/>
    <n v="200.34971252566734"/>
    <n v="28.186672257165117"/>
  </r>
  <r>
    <d v="2024-06-20T00:00:00"/>
    <s v="AD001"/>
    <x v="1"/>
    <x v="1"/>
    <x v="0"/>
    <n v="205409"/>
    <n v="7026"/>
    <n v="1119"/>
    <n v="706"/>
    <n v="423"/>
    <n v="175824.96"/>
    <x v="202"/>
    <x v="3"/>
    <n v="3.4204927729554204"/>
    <n v="25.024901793339026"/>
    <n v="15.926558497011101"/>
    <n v="415.66184397163119"/>
    <n v="7.5245177362758966"/>
  </r>
  <r>
    <d v="2024-06-21T00:00:00"/>
    <s v="AD001"/>
    <x v="1"/>
    <x v="1"/>
    <x v="0"/>
    <n v="189047"/>
    <n v="7231"/>
    <n v="1473"/>
    <n v="846"/>
    <n v="469"/>
    <n v="149311.23000000001"/>
    <x v="203"/>
    <x v="1"/>
    <n v="3.8249747417308924"/>
    <n v="20.648766422348224"/>
    <n v="20.370626469367998"/>
    <n v="318.36083155650323"/>
    <n v="17.782793363901696"/>
  </r>
  <r>
    <d v="2024-06-22T00:00:00"/>
    <s v="AD001"/>
    <x v="1"/>
    <x v="1"/>
    <x v="0"/>
    <n v="174907"/>
    <n v="8495"/>
    <n v="2121"/>
    <n v="1059"/>
    <n v="425"/>
    <n v="134700.51"/>
    <x v="204"/>
    <x v="1"/>
    <n v="4.8568667920666417"/>
    <n v="15.856446144791054"/>
    <n v="24.967628016480283"/>
    <n v="316.94237647058827"/>
    <n v="19.235254640090076"/>
  </r>
  <r>
    <d v="2024-06-23T00:00:00"/>
    <s v="AD001"/>
    <x v="1"/>
    <x v="1"/>
    <x v="0"/>
    <n v="176167"/>
    <n v="10868"/>
    <n v="1936"/>
    <n v="1164"/>
    <n v="627"/>
    <n v="121892.02"/>
    <x v="205"/>
    <x v="2"/>
    <n v="6.1691463213882285"/>
    <n v="11.215680898049319"/>
    <n v="17.813765182186234"/>
    <n v="194.40513556618819"/>
    <n v="38.979380438522554"/>
  </r>
  <r>
    <d v="2024-06-24T00:00:00"/>
    <s v="AD001"/>
    <x v="1"/>
    <x v="1"/>
    <x v="0"/>
    <n v="170905"/>
    <n v="8986"/>
    <n v="2123"/>
    <n v="1289"/>
    <n v="772"/>
    <n v="77320.5"/>
    <x v="206"/>
    <x v="3"/>
    <n v="5.2578918112401629"/>
    <n v="8.6045515245938127"/>
    <n v="23.625639884264409"/>
    <n v="100.15608808290155"/>
    <n v="45.873889072108952"/>
  </r>
  <r>
    <d v="2024-06-25T00:00:00"/>
    <s v="AD001"/>
    <x v="1"/>
    <x v="1"/>
    <x v="0"/>
    <n v="92195"/>
    <n v="6158"/>
    <n v="1102"/>
    <n v="514"/>
    <n v="217"/>
    <n v="53344.57"/>
    <x v="207"/>
    <x v="0"/>
    <n v="6.6793210043928628"/>
    <n v="8.6626453393959082"/>
    <n v="17.895420591101008"/>
    <n v="245.82751152073732"/>
    <n v="21.710922217575284"/>
  </r>
  <r>
    <d v="2024-06-26T00:00:00"/>
    <s v="AD001"/>
    <x v="1"/>
    <x v="1"/>
    <x v="0"/>
    <n v="144589"/>
    <n v="11439"/>
    <n v="2189"/>
    <n v="1146"/>
    <n v="674"/>
    <n v="93882.94"/>
    <x v="208"/>
    <x v="3"/>
    <n v="7.9113902164065042"/>
    <n v="8.2072681178424691"/>
    <n v="19.136288137074921"/>
    <n v="139.29219584569734"/>
    <n v="40.200884633566012"/>
  </r>
  <r>
    <d v="2024-06-27T00:00:00"/>
    <s v="AD001"/>
    <x v="1"/>
    <x v="1"/>
    <x v="0"/>
    <n v="218634"/>
    <n v="13467"/>
    <n v="2852"/>
    <n v="1603"/>
    <n v="838"/>
    <n v="196856.04"/>
    <x v="209"/>
    <x v="1"/>
    <n v="6.1596092099124569"/>
    <n v="14.617660948986412"/>
    <n v="21.177693621445016"/>
    <n v="234.91174224343678"/>
    <n v="13.064207427925503"/>
  </r>
  <r>
    <d v="2024-06-28T00:00:00"/>
    <s v="AD001"/>
    <x v="1"/>
    <x v="1"/>
    <x v="0"/>
    <n v="224017"/>
    <n v="17218"/>
    <n v="3927"/>
    <n v="2217"/>
    <n v="1085"/>
    <n v="145416.06"/>
    <x v="210"/>
    <x v="1"/>
    <n v="7.6860238285487252"/>
    <n v="8.4455836914856537"/>
    <n v="22.80752700662098"/>
    <n v="134.02401843317972"/>
    <n v="49.197832137660725"/>
  </r>
  <r>
    <d v="2024-06-29T00:00:00"/>
    <s v="AD001"/>
    <x v="1"/>
    <x v="1"/>
    <x v="0"/>
    <n v="99562"/>
    <n v="5277"/>
    <n v="1146"/>
    <n v="694"/>
    <n v="296"/>
    <n v="73478.7"/>
    <x v="211"/>
    <x v="1"/>
    <n v="5.3002149414435227"/>
    <n v="13.924332006822057"/>
    <n v="21.716884593519044"/>
    <n v="248.23885135135134"/>
    <n v="12.522858733211121"/>
  </r>
  <r>
    <d v="2024-06-30T00:00:00"/>
    <s v="AD001"/>
    <x v="1"/>
    <x v="1"/>
    <x v="0"/>
    <n v="247894"/>
    <n v="9939"/>
    <n v="2312"/>
    <n v="1356"/>
    <n v="632"/>
    <n v="174102.28"/>
    <x v="212"/>
    <x v="0"/>
    <n v="4.0093749747876108"/>
    <n v="17.517082201428714"/>
    <n v="23.261897575208774"/>
    <n v="275.47829113924053"/>
    <n v="24.171208556257849"/>
  </r>
  <r>
    <d v="2024-07-01T00:00:00"/>
    <s v="AD001"/>
    <x v="1"/>
    <x v="1"/>
    <x v="0"/>
    <n v="189966"/>
    <n v="6959"/>
    <n v="1711"/>
    <n v="797"/>
    <n v="357"/>
    <n v="128422.24"/>
    <x v="213"/>
    <x v="4"/>
    <n v="3.6632871145362853"/>
    <n v="18.454122718781434"/>
    <n v="24.586865929012788"/>
    <n v="359.72616246498603"/>
    <n v="19.661496482229246"/>
  </r>
  <r>
    <d v="2024-07-02T00:00:00"/>
    <s v="AD001"/>
    <x v="1"/>
    <x v="1"/>
    <x v="0"/>
    <n v="290368"/>
    <n v="17043"/>
    <n v="2956"/>
    <n v="1912"/>
    <n v="1082"/>
    <n v="182544.6"/>
    <x v="214"/>
    <x v="4"/>
    <n v="5.8694484240687679"/>
    <n v="10.710825558880479"/>
    <n v="17.344364255119405"/>
    <n v="168.71035120147874"/>
    <n v="18.343872072907114"/>
  </r>
  <r>
    <d v="2024-07-03T00:00:00"/>
    <s v="AD001"/>
    <x v="1"/>
    <x v="1"/>
    <x v="0"/>
    <n v="98624"/>
    <n v="5398"/>
    <n v="1025"/>
    <n v="555"/>
    <n v="234"/>
    <n v="58644.23"/>
    <x v="215"/>
    <x v="2"/>
    <n v="5.4733127839065538"/>
    <n v="10.864066320859578"/>
    <n v="18.988514264542424"/>
    <n v="250.61636752136752"/>
    <n v="27.380323008759767"/>
  </r>
  <r>
    <d v="2024-07-04T00:00:00"/>
    <s v="AD001"/>
    <x v="1"/>
    <x v="1"/>
    <x v="0"/>
    <n v="185544"/>
    <n v="8967"/>
    <n v="1881"/>
    <n v="974"/>
    <n v="497"/>
    <n v="143891.23000000001"/>
    <x v="216"/>
    <x v="1"/>
    <n v="4.832815935842711"/>
    <n v="16.046752537080408"/>
    <n v="20.976915356306456"/>
    <n v="289.51957746478877"/>
    <n v="13.993735545939805"/>
  </r>
  <r>
    <d v="2024-07-05T00:00:00"/>
    <s v="AD001"/>
    <x v="1"/>
    <x v="1"/>
    <x v="0"/>
    <n v="64345"/>
    <n v="2893"/>
    <n v="673"/>
    <n v="399"/>
    <n v="231"/>
    <n v="58397.08"/>
    <x v="217"/>
    <x v="2"/>
    <n v="4.4960758411687003"/>
    <n v="20.185648116142413"/>
    <n v="23.263048738333911"/>
    <n v="252.80121212121213"/>
    <n v="25.892696347146124"/>
  </r>
  <r>
    <d v="2024-07-06T00:00:00"/>
    <s v="AD001"/>
    <x v="1"/>
    <x v="1"/>
    <x v="0"/>
    <n v="260059"/>
    <n v="15459"/>
    <n v="2859"/>
    <n v="1616"/>
    <n v="748"/>
    <n v="238169.83"/>
    <x v="218"/>
    <x v="3"/>
    <n v="5.9444203046231818"/>
    <n v="15.406548289022576"/>
    <n v="18.494081117795456"/>
    <n v="318.40886363636361"/>
    <n v="15.790450914794707"/>
  </r>
  <r>
    <d v="2024-07-07T00:00:00"/>
    <s v="AD001"/>
    <x v="1"/>
    <x v="1"/>
    <x v="0"/>
    <n v="272679"/>
    <n v="12573"/>
    <n v="2386"/>
    <n v="1298"/>
    <n v="669"/>
    <n v="125239.22"/>
    <x v="219"/>
    <x v="2"/>
    <n v="4.610916132155392"/>
    <n v="9.9609655611230412"/>
    <n v="18.977173307881969"/>
    <n v="187.20361733931242"/>
    <n v="38.839587790470105"/>
  </r>
  <r>
    <d v="2024-07-08T00:00:00"/>
    <s v="AD001"/>
    <x v="1"/>
    <x v="1"/>
    <x v="0"/>
    <n v="248350"/>
    <n v="16741"/>
    <n v="2897"/>
    <n v="1713"/>
    <n v="861"/>
    <n v="217164.85"/>
    <x v="220"/>
    <x v="3"/>
    <n v="6.7408898731628755"/>
    <n v="12.972035720685742"/>
    <n v="17.30482050056747"/>
    <n v="252.22398373983739"/>
    <n v="16.111865617294878"/>
  </r>
  <r>
    <d v="2024-07-09T00:00:00"/>
    <s v="AD001"/>
    <x v="1"/>
    <x v="1"/>
    <x v="0"/>
    <n v="177393"/>
    <n v="7806"/>
    <n v="1826"/>
    <n v="1016"/>
    <n v="471"/>
    <n v="138014.22"/>
    <x v="221"/>
    <x v="3"/>
    <n v="4.400399113832"/>
    <n v="17.680530361260569"/>
    <n v="23.392262362285422"/>
    <n v="293.02382165605098"/>
    <n v="27.023278978064724"/>
  </r>
  <r>
    <d v="2024-07-10T00:00:00"/>
    <s v="AD001"/>
    <x v="1"/>
    <x v="1"/>
    <x v="0"/>
    <n v="151029"/>
    <n v="9303"/>
    <n v="1887"/>
    <n v="1057"/>
    <n v="498"/>
    <n v="70776.38"/>
    <x v="222"/>
    <x v="3"/>
    <n v="6.1597441550960408"/>
    <n v="7.6079092765774483"/>
    <n v="20.283779425991614"/>
    <n v="142.12124497991968"/>
    <n v="27.28876879546538"/>
  </r>
  <r>
    <d v="2024-07-11T00:00:00"/>
    <s v="AD001"/>
    <x v="1"/>
    <x v="1"/>
    <x v="0"/>
    <n v="53745"/>
    <n v="4296"/>
    <n v="787"/>
    <n v="354"/>
    <n v="145"/>
    <n v="28330.69"/>
    <x v="223"/>
    <x v="1"/>
    <n v="7.9933017024839517"/>
    <n v="6.5946671322160144"/>
    <n v="18.319366852886407"/>
    <n v="195.38406896551723"/>
    <n v="20.035259289484301"/>
  </r>
  <r>
    <d v="2024-07-12T00:00:00"/>
    <s v="AD001"/>
    <x v="1"/>
    <x v="1"/>
    <x v="0"/>
    <n v="81985"/>
    <n v="2676"/>
    <n v="589"/>
    <n v="334"/>
    <n v="155"/>
    <n v="39730.86"/>
    <x v="224"/>
    <x v="2"/>
    <n v="3.2640117094590471"/>
    <n v="14.847107623318387"/>
    <n v="22.010463378176382"/>
    <n v="256.32812903225806"/>
    <n v="28.551773105339276"/>
  </r>
  <r>
    <d v="2024-07-13T00:00:00"/>
    <s v="AD001"/>
    <x v="1"/>
    <x v="1"/>
    <x v="0"/>
    <n v="101535"/>
    <n v="3234"/>
    <n v="704"/>
    <n v="418"/>
    <n v="167"/>
    <n v="49643.44"/>
    <x v="225"/>
    <x v="4"/>
    <n v="3.185108583247156"/>
    <n v="15.350476190476192"/>
    <n v="21.768707482993197"/>
    <n v="297.26610778443114"/>
    <n v="10.850128637338587"/>
  </r>
  <r>
    <d v="2024-07-14T00:00:00"/>
    <s v="AD001"/>
    <x v="1"/>
    <x v="1"/>
    <x v="0"/>
    <n v="56203"/>
    <n v="3399"/>
    <n v="526"/>
    <n v="282"/>
    <n v="124"/>
    <n v="50748.12"/>
    <x v="226"/>
    <x v="2"/>
    <n v="6.0477198726046648"/>
    <n v="14.930308914386584"/>
    <n v="15.475139746984407"/>
    <n v="409.25903225806456"/>
    <n v="13.86694403654756"/>
  </r>
  <r>
    <d v="2024-07-15T00:00:00"/>
    <s v="AD001"/>
    <x v="1"/>
    <x v="1"/>
    <x v="0"/>
    <n v="172571"/>
    <n v="12649"/>
    <n v="2920"/>
    <n v="1512"/>
    <n v="709"/>
    <n v="144033.44"/>
    <x v="227"/>
    <x v="0"/>
    <n v="7.3297367460349649"/>
    <n v="11.386942841331331"/>
    <n v="23.084828840224525"/>
    <n v="203.1501269393512"/>
    <n v="29.059553809170982"/>
  </r>
  <r>
    <d v="2024-07-16T00:00:00"/>
    <s v="AD001"/>
    <x v="1"/>
    <x v="1"/>
    <x v="0"/>
    <n v="206620"/>
    <n v="15320"/>
    <n v="3284"/>
    <n v="2077"/>
    <n v="936"/>
    <n v="107031.96"/>
    <x v="228"/>
    <x v="0"/>
    <n v="7.4145774852386017"/>
    <n v="6.9864203655352481"/>
    <n v="21.436031331592691"/>
    <n v="114.35038461538463"/>
    <n v="37.674982780844147"/>
  </r>
  <r>
    <d v="2024-07-17T00:00:00"/>
    <s v="AD001"/>
    <x v="1"/>
    <x v="1"/>
    <x v="0"/>
    <n v="238579"/>
    <n v="11277"/>
    <n v="1997"/>
    <n v="942"/>
    <n v="481"/>
    <n v="200472.94"/>
    <x v="229"/>
    <x v="0"/>
    <n v="4.7267362173535812"/>
    <n v="17.777151724749491"/>
    <n v="17.708610446040613"/>
    <n v="416.78365904365904"/>
    <n v="9.9597745710717867"/>
  </r>
  <r>
    <d v="2024-07-18T00:00:00"/>
    <s v="AD001"/>
    <x v="1"/>
    <x v="1"/>
    <x v="0"/>
    <n v="299596"/>
    <n v="13778"/>
    <n v="2469"/>
    <n v="1401"/>
    <n v="803"/>
    <n v="133225.18"/>
    <x v="230"/>
    <x v="3"/>
    <n v="4.5988597978611194"/>
    <n v="9.6694135578458411"/>
    <n v="17.919872260124837"/>
    <n v="165.90931506849313"/>
    <n v="32.76111054982249"/>
  </r>
  <r>
    <d v="2024-07-19T00:00:00"/>
    <s v="AD001"/>
    <x v="1"/>
    <x v="1"/>
    <x v="0"/>
    <n v="289584"/>
    <n v="9928"/>
    <n v="1754"/>
    <n v="852"/>
    <n v="495"/>
    <n v="233553.6"/>
    <x v="231"/>
    <x v="1"/>
    <n v="3.4283662080777946"/>
    <n v="23.524738114423851"/>
    <n v="17.66720386784851"/>
    <n v="471.82545454545453"/>
    <n v="6.8834962509676583"/>
  </r>
  <r>
    <d v="2024-07-20T00:00:00"/>
    <s v="AD001"/>
    <x v="1"/>
    <x v="1"/>
    <x v="0"/>
    <n v="272890"/>
    <n v="10309"/>
    <n v="2371"/>
    <n v="1461"/>
    <n v="865"/>
    <n v="248690.64"/>
    <x v="232"/>
    <x v="0"/>
    <n v="3.7777126314632272"/>
    <n v="24.123643418372296"/>
    <n v="22.999320981666504"/>
    <n v="287.50363005780349"/>
    <n v="26.8409561373118"/>
  </r>
  <r>
    <d v="2024-07-21T00:00:00"/>
    <s v="AD001"/>
    <x v="1"/>
    <x v="1"/>
    <x v="0"/>
    <n v="285905"/>
    <n v="8585"/>
    <n v="1949"/>
    <n v="993"/>
    <n v="582"/>
    <n v="254211.76"/>
    <x v="233"/>
    <x v="0"/>
    <n v="3.0027456672670993"/>
    <n v="29.61115433896331"/>
    <n v="22.702387885847408"/>
    <n v="436.78996563573884"/>
    <n v="12.6609235151041"/>
  </r>
  <r>
    <d v="2024-07-22T00:00:00"/>
    <s v="AD001"/>
    <x v="1"/>
    <x v="1"/>
    <x v="0"/>
    <n v="92579"/>
    <n v="6825"/>
    <n v="1236"/>
    <n v="768"/>
    <n v="372"/>
    <n v="46340.62"/>
    <x v="234"/>
    <x v="0"/>
    <n v="7.3720822216701416"/>
    <n v="6.7898344322344331"/>
    <n v="18.109890109890109"/>
    <n v="124.57155913978495"/>
    <n v="53.970143688194071"/>
  </r>
  <r>
    <d v="2024-07-23T00:00:00"/>
    <s v="AD001"/>
    <x v="1"/>
    <x v="1"/>
    <x v="0"/>
    <n v="262199"/>
    <n v="20171"/>
    <n v="3719"/>
    <n v="2289"/>
    <n v="1259"/>
    <n v="108832.62"/>
    <x v="235"/>
    <x v="1"/>
    <n v="7.6930117963836624"/>
    <n v="5.3954994794506961"/>
    <n v="18.437360567150858"/>
    <n v="86.443701350277991"/>
    <n v="81.405888510264674"/>
  </r>
  <r>
    <d v="2024-07-24T00:00:00"/>
    <s v="AD001"/>
    <x v="1"/>
    <x v="1"/>
    <x v="0"/>
    <n v="198212"/>
    <n v="6874"/>
    <n v="1415"/>
    <n v="799"/>
    <n v="462"/>
    <n v="108824.3"/>
    <x v="236"/>
    <x v="3"/>
    <n v="3.4680039553609268"/>
    <n v="15.831291824265348"/>
    <n v="20.58481233633983"/>
    <n v="235.5504329004329"/>
    <n v="30.63347478458396"/>
  </r>
  <r>
    <d v="2024-07-25T00:00:00"/>
    <s v="AD001"/>
    <x v="1"/>
    <x v="1"/>
    <x v="0"/>
    <n v="118809"/>
    <n v="7312"/>
    <n v="1760"/>
    <n v="995"/>
    <n v="443"/>
    <n v="100651.52"/>
    <x v="237"/>
    <x v="0"/>
    <n v="6.1544159112525145"/>
    <n v="13.765251641137857"/>
    <n v="24.070021881838073"/>
    <n v="227.20433408577878"/>
    <n v="29.769926673735281"/>
  </r>
  <r>
    <d v="2024-07-26T00:00:00"/>
    <s v="AD001"/>
    <x v="1"/>
    <x v="1"/>
    <x v="0"/>
    <n v="182889"/>
    <n v="5572"/>
    <n v="878"/>
    <n v="401"/>
    <n v="226"/>
    <n v="93158.25"/>
    <x v="238"/>
    <x v="1"/>
    <n v="3.0466567152753856"/>
    <n v="16.718996769562096"/>
    <n v="15.757358219669779"/>
    <n v="412.20464601769913"/>
    <n v="16.378509901162808"/>
  </r>
  <r>
    <d v="2024-07-27T00:00:00"/>
    <s v="AD001"/>
    <x v="1"/>
    <x v="1"/>
    <x v="0"/>
    <n v="85016"/>
    <n v="3976"/>
    <n v="731"/>
    <n v="365"/>
    <n v="182"/>
    <n v="39557.93"/>
    <x v="239"/>
    <x v="4"/>
    <n v="4.676766726263291"/>
    <n v="9.949177565392354"/>
    <n v="18.385311871227366"/>
    <n v="217.35126373626375"/>
    <n v="34.343195915458672"/>
  </r>
  <r>
    <d v="2024-07-28T00:00:00"/>
    <s v="AD001"/>
    <x v="1"/>
    <x v="1"/>
    <x v="0"/>
    <n v="136206"/>
    <n v="8419"/>
    <n v="2017"/>
    <n v="1200"/>
    <n v="719"/>
    <n v="66697.45"/>
    <x v="240"/>
    <x v="0"/>
    <n v="6.1810786602645997"/>
    <n v="7.9222532367264513"/>
    <n v="23.957714692956408"/>
    <n v="92.764186369958267"/>
    <n v="58.686456528697875"/>
  </r>
  <r>
    <d v="2024-07-29T00:00:00"/>
    <s v="AD001"/>
    <x v="1"/>
    <x v="1"/>
    <x v="0"/>
    <n v="165347"/>
    <n v="11046"/>
    <n v="2068"/>
    <n v="1143"/>
    <n v="503"/>
    <n v="143383.04000000001"/>
    <x v="241"/>
    <x v="4"/>
    <n v="6.6804961686634776"/>
    <n v="12.980539561832337"/>
    <n v="18.721709216005795"/>
    <n v="285.05574552683896"/>
    <n v="13.890735612803297"/>
  </r>
  <r>
    <d v="2024-07-30T00:00:00"/>
    <s v="AD001"/>
    <x v="1"/>
    <x v="1"/>
    <x v="0"/>
    <n v="293930"/>
    <n v="12917"/>
    <n v="3074"/>
    <n v="1552"/>
    <n v="860"/>
    <n v="135737.98000000001"/>
    <x v="242"/>
    <x v="0"/>
    <n v="4.3945837444289451"/>
    <n v="10.508475652241234"/>
    <n v="23.798095533018504"/>
    <n v="157.83486046511629"/>
    <n v="36.520065865132217"/>
  </r>
  <r>
    <d v="2024-07-31T00:00:00"/>
    <s v="AD001"/>
    <x v="1"/>
    <x v="1"/>
    <x v="0"/>
    <n v="143598"/>
    <n v="9751"/>
    <n v="1930"/>
    <n v="965"/>
    <n v="442"/>
    <n v="121893.19"/>
    <x v="243"/>
    <x v="3"/>
    <n v="6.7904845471385391"/>
    <n v="12.500583529894371"/>
    <n v="19.792841759819506"/>
    <n v="275.77644796380093"/>
    <n v="11.893008542971105"/>
  </r>
  <r>
    <d v="2024-08-01T00:00:00"/>
    <s v="AD001"/>
    <x v="1"/>
    <x v="1"/>
    <x v="0"/>
    <n v="54410"/>
    <n v="4309"/>
    <n v="693"/>
    <n v="357"/>
    <n v="191"/>
    <n v="48121.46"/>
    <x v="244"/>
    <x v="1"/>
    <n v="7.9195000918948724"/>
    <n v="11.167663030865629"/>
    <n v="16.082617776746343"/>
    <n v="251.94481675392669"/>
    <n v="22.098837192387762"/>
  </r>
  <r>
    <d v="2024-08-01T00:00:00"/>
    <s v="AD005"/>
    <x v="2"/>
    <x v="2"/>
    <x v="1"/>
    <n v="100600"/>
    <n v="4426"/>
    <n v="1006"/>
    <n v="578"/>
    <n v="315"/>
    <n v="88124.93"/>
    <x v="245"/>
    <x v="4"/>
    <n v="4.3996023856858848"/>
    <n v="19.910738816086759"/>
    <n v="22.729326705829191"/>
    <n v="279.76168253968251"/>
    <n v="26.82025960190834"/>
  </r>
  <r>
    <d v="2024-08-02T00:00:00"/>
    <s v="AD001"/>
    <x v="1"/>
    <x v="1"/>
    <x v="0"/>
    <n v="132675"/>
    <n v="10342"/>
    <n v="1904"/>
    <n v="862"/>
    <n v="374"/>
    <n v="113475.65"/>
    <x v="246"/>
    <x v="1"/>
    <n v="7.7949877520256265"/>
    <n v="10.97231193192806"/>
    <n v="18.410365499903307"/>
    <n v="303.41082887700532"/>
    <n v="16.978654098919019"/>
  </r>
  <r>
    <d v="2024-08-02T00:00:00"/>
    <s v="AD005"/>
    <x v="2"/>
    <x v="2"/>
    <x v="0"/>
    <n v="120721"/>
    <n v="9109"/>
    <n v="1747"/>
    <n v="1023"/>
    <n v="521"/>
    <n v="75049.88"/>
    <x v="247"/>
    <x v="1"/>
    <n v="7.5454974693715258"/>
    <n v="8.2390910088923039"/>
    <n v="19.178834120100998"/>
    <n v="144.0496737044146"/>
    <n v="33.435417351766581"/>
  </r>
  <r>
    <d v="2024-08-03T00:00:00"/>
    <s v="AD001"/>
    <x v="1"/>
    <x v="1"/>
    <x v="0"/>
    <n v="200741"/>
    <n v="11692"/>
    <n v="2445"/>
    <n v="1190"/>
    <n v="664"/>
    <n v="136500.62"/>
    <x v="248"/>
    <x v="4"/>
    <n v="5.8244205219661156"/>
    <n v="11.674702360588435"/>
    <n v="20.911734519329457"/>
    <n v="205.57322289156625"/>
    <n v="24.509608527785442"/>
  </r>
  <r>
    <d v="2024-08-03T00:00:00"/>
    <s v="AD005"/>
    <x v="2"/>
    <x v="2"/>
    <x v="0"/>
    <n v="208142"/>
    <n v="16098"/>
    <n v="3655"/>
    <n v="2210"/>
    <n v="1252"/>
    <n v="141729.43"/>
    <x v="249"/>
    <x v="3"/>
    <n v="7.7341430369651496"/>
    <n v="8.8041638712883579"/>
    <n v="22.704683811653624"/>
    <n v="113.20242012779552"/>
    <n v="54.39307524202983"/>
  </r>
  <r>
    <d v="2024-08-04T00:00:00"/>
    <s v="AD001"/>
    <x v="1"/>
    <x v="1"/>
    <x v="0"/>
    <n v="62326"/>
    <n v="2288"/>
    <n v="416"/>
    <n v="208"/>
    <n v="97"/>
    <n v="53808.35"/>
    <x v="250"/>
    <x v="0"/>
    <n v="3.6710201200141195"/>
    <n v="23.517635489510489"/>
    <n v="18.181818181818183"/>
    <n v="554.72525773195878"/>
    <n v="9.557548038547921"/>
  </r>
  <r>
    <d v="2024-08-04T00:00:00"/>
    <s v="AD005"/>
    <x v="2"/>
    <x v="2"/>
    <x v="1"/>
    <n v="60178"/>
    <n v="3164"/>
    <n v="594"/>
    <n v="300"/>
    <n v="141"/>
    <n v="36780.379999999997"/>
    <x v="251"/>
    <x v="2"/>
    <n v="5.2577353850244277"/>
    <n v="11.624646017699114"/>
    <n v="18.773704171934259"/>
    <n v="260.85375886524821"/>
    <n v="17.347726423707424"/>
  </r>
  <r>
    <d v="2024-08-05T00:00:00"/>
    <s v="AD001"/>
    <x v="1"/>
    <x v="1"/>
    <x v="0"/>
    <n v="105561"/>
    <n v="6091"/>
    <n v="1210"/>
    <n v="657"/>
    <n v="361"/>
    <n v="58132.88"/>
    <x v="252"/>
    <x v="4"/>
    <n v="5.7701234357385776"/>
    <n v="9.5440617304219337"/>
    <n v="19.865375143654575"/>
    <n v="161.03290858725762"/>
    <n v="18.669628444350256"/>
  </r>
  <r>
    <d v="2024-08-05T00:00:00"/>
    <s v="AD005"/>
    <x v="2"/>
    <x v="2"/>
    <x v="0"/>
    <n v="108128"/>
    <n v="4562"/>
    <n v="1033"/>
    <n v="586"/>
    <n v="260"/>
    <n v="58193.29"/>
    <x v="253"/>
    <x v="4"/>
    <n v="4.2190736904409585"/>
    <n v="12.756091626479614"/>
    <n v="22.643577378342833"/>
    <n v="223.82034615384615"/>
    <n v="28.088475320780113"/>
  </r>
  <r>
    <d v="2024-08-06T00:00:00"/>
    <s v="AD001"/>
    <x v="1"/>
    <x v="1"/>
    <x v="0"/>
    <n v="96715"/>
    <n v="4883"/>
    <n v="1120"/>
    <n v="538"/>
    <n v="232"/>
    <n v="43537.41"/>
    <x v="254"/>
    <x v="2"/>
    <n v="5.0488548829033757"/>
    <n v="8.9161191890231422"/>
    <n v="22.93671922998157"/>
    <n v="187.66125000000002"/>
    <n v="41.665243522754338"/>
  </r>
  <r>
    <d v="2024-08-06T00:00:00"/>
    <s v="AD005"/>
    <x v="2"/>
    <x v="2"/>
    <x v="2"/>
    <n v="99786"/>
    <n v="4538"/>
    <n v="843"/>
    <n v="475"/>
    <n v="270"/>
    <n v="86472.87"/>
    <x v="255"/>
    <x v="1"/>
    <n v="4.5477321467941394"/>
    <n v="19.055282062582634"/>
    <n v="18.576465403261349"/>
    <n v="320.26988888888889"/>
    <n v="23.043873760637297"/>
  </r>
  <r>
    <d v="2024-08-07T00:00:00"/>
    <s v="AD001"/>
    <x v="1"/>
    <x v="1"/>
    <x v="0"/>
    <n v="297887"/>
    <n v="19916"/>
    <n v="3329"/>
    <n v="2125"/>
    <n v="936"/>
    <n v="270727.95"/>
    <x v="256"/>
    <x v="0"/>
    <n v="6.6857566795462704"/>
    <n v="13.5934901586664"/>
    <n v="16.715203856196023"/>
    <n v="289.23926282051281"/>
    <n v="10.693435051681956"/>
  </r>
  <r>
    <d v="2024-08-07T00:00:00"/>
    <s v="AD005"/>
    <x v="2"/>
    <x v="2"/>
    <x v="0"/>
    <n v="54376"/>
    <n v="2198"/>
    <n v="530"/>
    <n v="240"/>
    <n v="98"/>
    <n v="48889.03"/>
    <x v="257"/>
    <x v="3"/>
    <n v="4.0422245108135941"/>
    <n v="22.242506824385806"/>
    <n v="24.112829845313922"/>
    <n v="498.86765306122447"/>
    <n v="8.268420543422522"/>
  </r>
  <r>
    <d v="2024-08-08T00:00:00"/>
    <s v="AD001"/>
    <x v="1"/>
    <x v="1"/>
    <x v="0"/>
    <n v="88036"/>
    <n v="3843"/>
    <n v="807"/>
    <n v="511"/>
    <n v="208"/>
    <n v="69666.14"/>
    <x v="258"/>
    <x v="3"/>
    <n v="4.3652596665000685"/>
    <n v="18.128061410356491"/>
    <n v="20.999219359875099"/>
    <n v="334.9333653846154"/>
    <n v="18.239771142767491"/>
  </r>
  <r>
    <d v="2024-08-08T00:00:00"/>
    <s v="AD005"/>
    <x v="2"/>
    <x v="2"/>
    <x v="0"/>
    <n v="276523"/>
    <n v="11747"/>
    <n v="1913"/>
    <n v="1099"/>
    <n v="451"/>
    <n v="112550.84"/>
    <x v="259"/>
    <x v="0"/>
    <n v="4.2481095605067205"/>
    <n v="9.581241167957776"/>
    <n v="16.285008938452371"/>
    <n v="249.55840354767184"/>
    <n v="27.210026864304165"/>
  </r>
  <r>
    <d v="2024-08-09T00:00:00"/>
    <s v="AD001"/>
    <x v="1"/>
    <x v="1"/>
    <x v="0"/>
    <n v="61270"/>
    <n v="3608"/>
    <n v="771"/>
    <n v="487"/>
    <n v="203"/>
    <n v="48486.67"/>
    <x v="260"/>
    <x v="4"/>
    <n v="5.8886894075403946"/>
    <n v="13.43865576496674"/>
    <n v="21.369179600886916"/>
    <n v="238.85059113300491"/>
    <n v="20.968762548552004"/>
  </r>
  <r>
    <d v="2024-08-09T00:00:00"/>
    <s v="AD005"/>
    <x v="2"/>
    <x v="2"/>
    <x v="2"/>
    <n v="175935"/>
    <n v="8558"/>
    <n v="1832"/>
    <n v="1035"/>
    <n v="601"/>
    <n v="163462.72"/>
    <x v="261"/>
    <x v="2"/>
    <n v="4.864296473129281"/>
    <n v="19.100574900677728"/>
    <n v="21.40687076419724"/>
    <n v="271.98455906821965"/>
    <n v="17.580934600868016"/>
  </r>
  <r>
    <d v="2024-08-10T00:00:00"/>
    <s v="AD001"/>
    <x v="1"/>
    <x v="1"/>
    <x v="0"/>
    <n v="270202"/>
    <n v="19267"/>
    <n v="3864"/>
    <n v="1957"/>
    <n v="1169"/>
    <n v="132916.07999999999"/>
    <x v="262"/>
    <x v="3"/>
    <n v="7.1305911873339207"/>
    <n v="6.8986391238905895"/>
    <n v="20.055016349198109"/>
    <n v="113.70066723695466"/>
    <n v="43.72583843881042"/>
  </r>
  <r>
    <d v="2024-08-10T00:00:00"/>
    <s v="AD005"/>
    <x v="2"/>
    <x v="2"/>
    <x v="0"/>
    <n v="70308"/>
    <n v="4870"/>
    <n v="930"/>
    <n v="492"/>
    <n v="251"/>
    <n v="51723.19"/>
    <x v="263"/>
    <x v="4"/>
    <n v="6.9266655288160655"/>
    <n v="10.620778234086243"/>
    <n v="19.096509240246405"/>
    <n v="206.0684860557769"/>
    <n v="24.401115244438714"/>
  </r>
  <r>
    <d v="2024-08-11T00:00:00"/>
    <s v="AD001"/>
    <x v="1"/>
    <x v="1"/>
    <x v="0"/>
    <n v="206790"/>
    <n v="15329"/>
    <n v="3569"/>
    <n v="2038"/>
    <n v="1076"/>
    <n v="151435.23000000001"/>
    <x v="264"/>
    <x v="4"/>
    <n v="7.4128342763189705"/>
    <n v="9.8790025441972737"/>
    <n v="23.282666840628874"/>
    <n v="140.73906133828999"/>
    <n v="55.997463932269916"/>
  </r>
  <r>
    <d v="2024-08-11T00:00:00"/>
    <s v="AD005"/>
    <x v="2"/>
    <x v="2"/>
    <x v="2"/>
    <n v="239465"/>
    <n v="10006"/>
    <n v="1533"/>
    <n v="767"/>
    <n v="445"/>
    <n v="119177.15"/>
    <x v="265"/>
    <x v="1"/>
    <n v="4.1784811976698055"/>
    <n v="11.910568658804717"/>
    <n v="15.320807515490706"/>
    <n v="267.81382022471911"/>
    <n v="29.822610038921052"/>
  </r>
  <r>
    <d v="2024-08-12T00:00:00"/>
    <s v="AD001"/>
    <x v="1"/>
    <x v="1"/>
    <x v="0"/>
    <n v="143259"/>
    <n v="4765"/>
    <n v="1041"/>
    <n v="609"/>
    <n v="246"/>
    <n v="103534"/>
    <x v="266"/>
    <x v="3"/>
    <n v="3.3261435581708652"/>
    <n v="21.728016789087093"/>
    <n v="21.846799580272823"/>
    <n v="420.869918699187"/>
    <n v="18.835204570479263"/>
  </r>
  <r>
    <d v="2024-08-12T00:00:00"/>
    <s v="AD005"/>
    <x v="2"/>
    <x v="2"/>
    <x v="2"/>
    <n v="60504"/>
    <n v="2239"/>
    <n v="539"/>
    <n v="322"/>
    <n v="184"/>
    <n v="54506.92"/>
    <x v="267"/>
    <x v="3"/>
    <n v="3.7005817797170435"/>
    <n v="24.344314426083073"/>
    <n v="24.073246985261278"/>
    <n v="296.23326086956519"/>
    <n v="19.284818881712635"/>
  </r>
  <r>
    <d v="2024-08-13T00:00:00"/>
    <s v="AD001"/>
    <x v="1"/>
    <x v="1"/>
    <x v="0"/>
    <n v="203962"/>
    <n v="9650"/>
    <n v="2394"/>
    <n v="1402"/>
    <n v="591"/>
    <n v="143265.17000000001"/>
    <x v="268"/>
    <x v="1"/>
    <n v="4.7312734725095851"/>
    <n v="14.846131606217618"/>
    <n v="24.808290155440417"/>
    <n v="242.41145516074451"/>
    <n v="19.60499903779823"/>
  </r>
  <r>
    <d v="2024-08-13T00:00:00"/>
    <s v="AD005"/>
    <x v="2"/>
    <x v="2"/>
    <x v="0"/>
    <n v="140195"/>
    <n v="9654"/>
    <n v="1913"/>
    <n v="1044"/>
    <n v="524"/>
    <n v="78718.460000000006"/>
    <x v="269"/>
    <x v="0"/>
    <n v="6.886122900246086"/>
    <n v="8.1539734824943029"/>
    <n v="19.815620468199711"/>
    <n v="150.22606870229009"/>
    <n v="41.506657269463858"/>
  </r>
  <r>
    <d v="2024-08-14T00:00:00"/>
    <s v="AD001"/>
    <x v="1"/>
    <x v="1"/>
    <x v="0"/>
    <n v="93684"/>
    <n v="5805"/>
    <n v="1305"/>
    <n v="670"/>
    <n v="372"/>
    <n v="41067.660000000003"/>
    <x v="270"/>
    <x v="0"/>
    <n v="6.1963622390162678"/>
    <n v="7.0745322997416027"/>
    <n v="22.480620155038761"/>
    <n v="110.39693548387098"/>
    <n v="37.816529843677479"/>
  </r>
  <r>
    <d v="2024-08-14T00:00:00"/>
    <s v="AD005"/>
    <x v="2"/>
    <x v="2"/>
    <x v="2"/>
    <n v="184290"/>
    <n v="10858"/>
    <n v="2176"/>
    <n v="991"/>
    <n v="427"/>
    <n v="163226.63"/>
    <x v="271"/>
    <x v="4"/>
    <n v="5.8918009658690114"/>
    <n v="15.032844906981028"/>
    <n v="20.040523116596059"/>
    <n v="382.26377049180331"/>
    <n v="12.223079775646903"/>
  </r>
  <r>
    <d v="2024-08-15T00:00:00"/>
    <s v="AD001"/>
    <x v="1"/>
    <x v="1"/>
    <x v="0"/>
    <n v="246897"/>
    <n v="8565"/>
    <n v="2017"/>
    <n v="1112"/>
    <n v="614"/>
    <n v="246807.4"/>
    <x v="272"/>
    <x v="1"/>
    <n v="3.4690579472411573"/>
    <n v="28.815808523058958"/>
    <n v="23.54932866316404"/>
    <n v="401.96644951140064"/>
    <n v="17.926457999233413"/>
  </r>
  <r>
    <d v="2024-08-15T00:00:00"/>
    <s v="AD005"/>
    <x v="2"/>
    <x v="2"/>
    <x v="0"/>
    <n v="75772"/>
    <n v="2986"/>
    <n v="585"/>
    <n v="343"/>
    <n v="194"/>
    <n v="50358.62"/>
    <x v="273"/>
    <x v="1"/>
    <n v="3.9407696774534129"/>
    <n v="16.864909578030812"/>
    <n v="19.591426657736104"/>
    <n v="259.58051546391755"/>
    <n v="29.98546783053229"/>
  </r>
  <r>
    <d v="2024-08-16T00:00:00"/>
    <s v="AD001"/>
    <x v="1"/>
    <x v="1"/>
    <x v="0"/>
    <n v="259857"/>
    <n v="18951"/>
    <n v="3776"/>
    <n v="2370"/>
    <n v="1066"/>
    <n v="110740.59"/>
    <x v="274"/>
    <x v="1"/>
    <n v="7.2928572253200805"/>
    <n v="5.8435222415703656"/>
    <n v="19.925069917154765"/>
    <n v="103.88423076923077"/>
    <n v="35.009626190360734"/>
  </r>
  <r>
    <d v="2024-08-16T00:00:00"/>
    <s v="AD005"/>
    <x v="2"/>
    <x v="2"/>
    <x v="2"/>
    <n v="147185"/>
    <n v="8624"/>
    <n v="2052"/>
    <n v="1243"/>
    <n v="630"/>
    <n v="102580.43"/>
    <x v="275"/>
    <x v="0"/>
    <n v="5.8592927268403709"/>
    <n v="11.894762291280147"/>
    <n v="23.794063079777366"/>
    <n v="162.82607936507935"/>
    <n v="33.596250376411959"/>
  </r>
  <r>
    <d v="2024-08-17T00:00:00"/>
    <s v="AD001"/>
    <x v="1"/>
    <x v="1"/>
    <x v="0"/>
    <n v="160425"/>
    <n v="11372"/>
    <n v="2306"/>
    <n v="1230"/>
    <n v="588"/>
    <n v="133747.28"/>
    <x v="276"/>
    <x v="1"/>
    <n v="7.0886707184042388"/>
    <n v="11.761104467112204"/>
    <n v="20.277875483644038"/>
    <n v="227.46136054421768"/>
    <n v="21.166790831185502"/>
  </r>
  <r>
    <d v="2024-08-17T00:00:00"/>
    <s v="AD005"/>
    <x v="2"/>
    <x v="2"/>
    <x v="1"/>
    <n v="196487"/>
    <n v="8699"/>
    <n v="1691"/>
    <n v="1051"/>
    <n v="613"/>
    <n v="171743.84"/>
    <x v="277"/>
    <x v="4"/>
    <n v="4.4272649081109696"/>
    <n v="19.742940567881366"/>
    <n v="19.439015978848143"/>
    <n v="280.16939641109298"/>
    <n v="19.283666069187692"/>
  </r>
  <r>
    <d v="2024-08-18T00:00:00"/>
    <s v="AD001"/>
    <x v="1"/>
    <x v="1"/>
    <x v="0"/>
    <n v="136692"/>
    <n v="7477"/>
    <n v="1371"/>
    <n v="764"/>
    <n v="442"/>
    <n v="120425.27"/>
    <x v="278"/>
    <x v="0"/>
    <n v="5.4699616656424661"/>
    <n v="16.106094690383845"/>
    <n v="18.33623110873345"/>
    <n v="272.45536199095022"/>
    <n v="17.201903637002431"/>
  </r>
  <r>
    <d v="2024-08-18T00:00:00"/>
    <s v="AD005"/>
    <x v="2"/>
    <x v="2"/>
    <x v="2"/>
    <n v="254671"/>
    <n v="15131"/>
    <n v="3100"/>
    <n v="1454"/>
    <n v="638"/>
    <n v="167140.01"/>
    <x v="279"/>
    <x v="0"/>
    <n v="5.941391049628737"/>
    <n v="11.046197211023726"/>
    <n v="20.487740400502279"/>
    <n v="261.97493730407524"/>
    <n v="24.841422170550306"/>
  </r>
  <r>
    <d v="2024-08-19T00:00:00"/>
    <s v="AD001"/>
    <x v="1"/>
    <x v="1"/>
    <x v="0"/>
    <n v="167681"/>
    <n v="13225"/>
    <n v="2990"/>
    <n v="1842"/>
    <n v="894"/>
    <n v="92404.26"/>
    <x v="280"/>
    <x v="1"/>
    <n v="7.8869997197058703"/>
    <n v="6.9870896030245744"/>
    <n v="22.608695652173914"/>
    <n v="103.36046979865772"/>
    <n v="66.533985554345662"/>
  </r>
  <r>
    <d v="2024-08-19T00:00:00"/>
    <s v="AD005"/>
    <x v="2"/>
    <x v="2"/>
    <x v="0"/>
    <n v="150411"/>
    <n v="8934"/>
    <n v="1854"/>
    <n v="1043"/>
    <n v="438"/>
    <n v="83953.46"/>
    <x v="281"/>
    <x v="2"/>
    <n v="5.939725153080559"/>
    <n v="9.3970740989478401"/>
    <n v="20.752182672934854"/>
    <n v="191.67456621004567"/>
    <n v="39.653577827524913"/>
  </r>
  <r>
    <d v="2024-08-20T00:00:00"/>
    <s v="AD001"/>
    <x v="1"/>
    <x v="1"/>
    <x v="0"/>
    <n v="50916"/>
    <n v="2686"/>
    <n v="642"/>
    <n v="387"/>
    <n v="160"/>
    <n v="34435.4"/>
    <x v="282"/>
    <x v="1"/>
    <n v="5.2753554874695574"/>
    <n v="12.820327624720775"/>
    <n v="23.901712583767683"/>
    <n v="215.22125"/>
    <n v="22.489790738600391"/>
  </r>
  <r>
    <d v="2024-08-20T00:00:00"/>
    <s v="AD005"/>
    <x v="2"/>
    <x v="2"/>
    <x v="1"/>
    <n v="266600"/>
    <n v="18274"/>
    <n v="4074"/>
    <n v="2224"/>
    <n v="907"/>
    <n v="192783.02"/>
    <x v="283"/>
    <x v="4"/>
    <n v="6.8544636159039758"/>
    <n v="10.549579730765021"/>
    <n v="22.293969574258512"/>
    <n v="212.5501874310915"/>
    <n v="25.000807332512998"/>
  </r>
  <r>
    <d v="2024-08-21T00:00:00"/>
    <s v="AD001"/>
    <x v="1"/>
    <x v="1"/>
    <x v="0"/>
    <n v="246115"/>
    <n v="17238"/>
    <n v="2715"/>
    <n v="1569"/>
    <n v="816"/>
    <n v="239237.62"/>
    <x v="284"/>
    <x v="2"/>
    <n v="7.0040428255084013"/>
    <n v="13.878502146420699"/>
    <n v="15.750087017055343"/>
    <n v="293.18335784313723"/>
    <n v="20.977907780557256"/>
  </r>
  <r>
    <d v="2024-08-21T00:00:00"/>
    <s v="AD005"/>
    <x v="2"/>
    <x v="2"/>
    <x v="0"/>
    <n v="286047"/>
    <n v="14611"/>
    <n v="3332"/>
    <n v="1656"/>
    <n v="978"/>
    <n v="195179.76"/>
    <x v="285"/>
    <x v="1"/>
    <n v="5.107901848297657"/>
    <n v="13.358412155225516"/>
    <n v="22.804736157689412"/>
    <n v="199.57030674846627"/>
    <n v="27.370610200565878"/>
  </r>
  <r>
    <d v="2024-08-22T00:00:00"/>
    <s v="AD001"/>
    <x v="1"/>
    <x v="1"/>
    <x v="0"/>
    <n v="55434"/>
    <n v="3340"/>
    <n v="628"/>
    <n v="299"/>
    <n v="157"/>
    <n v="47688.639999999999"/>
    <x v="286"/>
    <x v="3"/>
    <n v="6.0251831006241661"/>
    <n v="14.278035928143712"/>
    <n v="18.802395209580837"/>
    <n v="303.74929936305733"/>
    <n v="11.903533210424959"/>
  </r>
  <r>
    <d v="2024-08-22T00:00:00"/>
    <s v="AD005"/>
    <x v="2"/>
    <x v="2"/>
    <x v="0"/>
    <n v="138420"/>
    <n v="9190"/>
    <n v="1758"/>
    <n v="895"/>
    <n v="476"/>
    <n v="121775.58"/>
    <x v="287"/>
    <x v="4"/>
    <n v="6.6392139864181479"/>
    <n v="13.250879216539717"/>
    <n v="19.12948857453754"/>
    <n v="255.83105042016808"/>
    <n v="31.175671838311096"/>
  </r>
  <r>
    <d v="2024-08-23T00:00:00"/>
    <s v="AD001"/>
    <x v="1"/>
    <x v="1"/>
    <x v="0"/>
    <n v="212121"/>
    <n v="8521"/>
    <n v="1831"/>
    <n v="1065"/>
    <n v="523"/>
    <n v="210422.93"/>
    <x v="288"/>
    <x v="4"/>
    <n v="4.0170468741897318"/>
    <n v="24.69462856472245"/>
    <n v="21.488088252552519"/>
    <n v="402.33829827915866"/>
    <n v="8.6318977214127752"/>
  </r>
  <r>
    <d v="2024-08-23T00:00:00"/>
    <s v="AD005"/>
    <x v="2"/>
    <x v="2"/>
    <x v="1"/>
    <n v="174155"/>
    <n v="7729"/>
    <n v="1269"/>
    <n v="726"/>
    <n v="423"/>
    <n v="114529.99"/>
    <x v="289"/>
    <x v="4"/>
    <n v="4.4380006316212572"/>
    <n v="14.818215810583517"/>
    <n v="16.418682882649762"/>
    <n v="270.75647754137117"/>
    <n v="15.327382897702165"/>
  </r>
  <r>
    <d v="2024-08-24T00:00:00"/>
    <s v="AD001"/>
    <x v="1"/>
    <x v="1"/>
    <x v="0"/>
    <n v="298055"/>
    <n v="23238"/>
    <n v="3774"/>
    <n v="2035"/>
    <n v="1015"/>
    <n v="255249.45"/>
    <x v="290"/>
    <x v="0"/>
    <n v="7.7965476170505452"/>
    <n v="10.984140201394268"/>
    <n v="16.240640330493157"/>
    <n v="251.4772906403941"/>
    <n v="21.838433501032029"/>
  </r>
  <r>
    <d v="2024-08-24T00:00:00"/>
    <s v="AD005"/>
    <x v="2"/>
    <x v="2"/>
    <x v="0"/>
    <n v="73433"/>
    <n v="3246"/>
    <n v="574"/>
    <n v="335"/>
    <n v="163"/>
    <n v="43645.42"/>
    <x v="291"/>
    <x v="3"/>
    <n v="4.4203559707488456"/>
    <n v="13.445908810844115"/>
    <n v="17.683302526186075"/>
    <n v="267.76331288343556"/>
    <n v="23.598216261866654"/>
  </r>
  <r>
    <d v="2024-08-25T00:00:00"/>
    <s v="AD001"/>
    <x v="1"/>
    <x v="1"/>
    <x v="0"/>
    <n v="273318"/>
    <n v="12830"/>
    <n v="2725"/>
    <n v="1477"/>
    <n v="719"/>
    <n v="249800.87"/>
    <x v="292"/>
    <x v="0"/>
    <n v="4.6941657702749175"/>
    <n v="19.470060015588466"/>
    <n v="21.239282930631333"/>
    <n v="347.42819193324061"/>
    <n v="13.45111448170697"/>
  </r>
  <r>
    <d v="2024-08-25T00:00:00"/>
    <s v="AD005"/>
    <x v="2"/>
    <x v="2"/>
    <x v="0"/>
    <n v="190927"/>
    <n v="8324"/>
    <n v="1746"/>
    <n v="1040"/>
    <n v="502"/>
    <n v="153681.46"/>
    <x v="293"/>
    <x v="0"/>
    <n v="4.359781487165252"/>
    <n v="18.462453147525228"/>
    <n v="20.975492551657858"/>
    <n v="306.13836653386454"/>
    <n v="11.304314716947641"/>
  </r>
  <r>
    <d v="2024-08-26T00:00:00"/>
    <s v="AD001"/>
    <x v="1"/>
    <x v="1"/>
    <x v="0"/>
    <n v="280548"/>
    <n v="22400"/>
    <n v="3381"/>
    <n v="2001"/>
    <n v="1115"/>
    <n v="243363.91"/>
    <x v="294"/>
    <x v="3"/>
    <n v="7.984373440552063"/>
    <n v="10.864460267857144"/>
    <n v="15.09375"/>
    <n v="218.26359641255607"/>
    <n v="31.148561017120407"/>
  </r>
  <r>
    <d v="2024-08-26T00:00:00"/>
    <s v="AD005"/>
    <x v="2"/>
    <x v="2"/>
    <x v="0"/>
    <n v="285397"/>
    <n v="15333"/>
    <n v="2569"/>
    <n v="1619"/>
    <n v="881"/>
    <n v="167612.44"/>
    <x v="295"/>
    <x v="3"/>
    <n v="5.3725161792170208"/>
    <n v="10.931483727907128"/>
    <n v="16.754712058957804"/>
    <n v="190.25248581157774"/>
    <n v="31.696313710366606"/>
  </r>
  <r>
    <d v="2024-08-27T00:00:00"/>
    <s v="AD001"/>
    <x v="1"/>
    <x v="1"/>
    <x v="0"/>
    <n v="230587"/>
    <n v="11780"/>
    <n v="2103"/>
    <n v="985"/>
    <n v="557"/>
    <n v="170545.05"/>
    <x v="296"/>
    <x v="1"/>
    <n v="5.1087008374279552"/>
    <n v="14.477508488964345"/>
    <n v="17.852292020373515"/>
    <n v="306.18500897666064"/>
    <n v="12.73625695967136"/>
  </r>
  <r>
    <d v="2024-08-27T00:00:00"/>
    <s v="AD005"/>
    <x v="2"/>
    <x v="2"/>
    <x v="1"/>
    <n v="239102"/>
    <n v="11777"/>
    <n v="2683"/>
    <n v="1443"/>
    <n v="793"/>
    <n v="178773.39"/>
    <x v="297"/>
    <x v="4"/>
    <n v="4.925512960995726"/>
    <n v="15.179875180436445"/>
    <n v="22.781693130678441"/>
    <n v="225.43933165195463"/>
    <n v="34.888299315686744"/>
  </r>
  <r>
    <d v="2024-08-28T00:00:00"/>
    <s v="AD001"/>
    <x v="1"/>
    <x v="1"/>
    <x v="0"/>
    <n v="122769"/>
    <n v="4992"/>
    <n v="1154"/>
    <n v="639"/>
    <n v="335"/>
    <n v="76198.02"/>
    <x v="298"/>
    <x v="2"/>
    <n v="4.0661730567162717"/>
    <n v="15.264026442307694"/>
    <n v="23.116987179487182"/>
    <n v="227.456776119403"/>
    <n v="23.670092608705577"/>
  </r>
  <r>
    <d v="2024-08-28T00:00:00"/>
    <s v="AD005"/>
    <x v="2"/>
    <x v="2"/>
    <x v="2"/>
    <n v="118445"/>
    <n v="9312"/>
    <n v="1796"/>
    <n v="862"/>
    <n v="394"/>
    <n v="53888.89"/>
    <x v="299"/>
    <x v="3"/>
    <n v="7.861876820465195"/>
    <n v="5.7870371563573881"/>
    <n v="19.286941580756015"/>
    <n v="136.77383248730965"/>
    <n v="23.176528779865386"/>
  </r>
  <r>
    <d v="2024-08-29T00:00:00"/>
    <s v="AD001"/>
    <x v="1"/>
    <x v="1"/>
    <x v="0"/>
    <n v="176924"/>
    <n v="6002"/>
    <n v="1405"/>
    <n v="726"/>
    <n v="305"/>
    <n v="149271.1"/>
    <x v="300"/>
    <x v="3"/>
    <n v="3.3924170830413063"/>
    <n v="24.870226591136287"/>
    <n v="23.408863712095968"/>
    <n v="489.41344262295081"/>
    <n v="8.816619091036376"/>
  </r>
  <r>
    <d v="2024-08-29T00:00:00"/>
    <s v="AD005"/>
    <x v="2"/>
    <x v="2"/>
    <x v="0"/>
    <n v="141835"/>
    <n v="4781"/>
    <n v="815"/>
    <n v="412"/>
    <n v="201"/>
    <n v="71163.259999999995"/>
    <x v="301"/>
    <x v="2"/>
    <n v="3.3708182042514192"/>
    <n v="14.88459736456808"/>
    <n v="17.046642961723489"/>
    <n v="354.04606965174128"/>
    <n v="16.806097556520037"/>
  </r>
  <r>
    <d v="2024-08-30T00:00:00"/>
    <s v="AD001"/>
    <x v="1"/>
    <x v="1"/>
    <x v="0"/>
    <n v="89353"/>
    <n v="3461"/>
    <n v="777"/>
    <n v="423"/>
    <n v="218"/>
    <n v="68408.44"/>
    <x v="302"/>
    <x v="2"/>
    <n v="3.8734010050026302"/>
    <n v="19.76551285755562"/>
    <n v="22.450158913608785"/>
    <n v="313.80018348623855"/>
    <n v="20.530086638432334"/>
  </r>
  <r>
    <d v="2024-08-30T00:00:00"/>
    <s v="AD005"/>
    <x v="2"/>
    <x v="2"/>
    <x v="2"/>
    <n v="172603"/>
    <n v="13771"/>
    <n v="3131"/>
    <n v="1756"/>
    <n v="957"/>
    <n v="123949.96"/>
    <x v="303"/>
    <x v="0"/>
    <n v="7.9784244769789643"/>
    <n v="9.0007958753903132"/>
    <n v="22.736184736039501"/>
    <n v="129.51928944618601"/>
    <n v="58.770866081763963"/>
  </r>
  <r>
    <d v="2024-08-31T00:00:00"/>
    <s v="AD001"/>
    <x v="1"/>
    <x v="1"/>
    <x v="0"/>
    <n v="275170"/>
    <n v="8309"/>
    <n v="2008"/>
    <n v="1217"/>
    <n v="654"/>
    <n v="116652.11"/>
    <x v="304"/>
    <x v="1"/>
    <n v="3.0195878911218519"/>
    <n v="14.039247803586473"/>
    <n v="24.166566373811531"/>
    <n v="178.36714067278288"/>
    <n v="18.83337043796293"/>
  </r>
  <r>
    <d v="2024-08-31T00:00:00"/>
    <s v="AD005"/>
    <x v="2"/>
    <x v="2"/>
    <x v="2"/>
    <n v="188007"/>
    <n v="12565"/>
    <n v="2831"/>
    <n v="1364"/>
    <n v="556"/>
    <n v="100933.35"/>
    <x v="305"/>
    <x v="1"/>
    <n v="6.6832617934438607"/>
    <n v="8.0328969359331488"/>
    <n v="22.530839633903703"/>
    <n v="181.53480215827338"/>
    <n v="20.448503988027742"/>
  </r>
  <r>
    <d v="2024-09-01T00:00:00"/>
    <s v="AD005"/>
    <x v="2"/>
    <x v="2"/>
    <x v="2"/>
    <n v="277995"/>
    <n v="17323"/>
    <n v="3307"/>
    <n v="1962"/>
    <n v="807"/>
    <n v="119949.55"/>
    <x v="306"/>
    <x v="2"/>
    <n v="6.2314070396949583"/>
    <n v="6.9242942908272243"/>
    <n v="19.09022686601628"/>
    <n v="148.63636926889714"/>
    <n v="32.576939388267817"/>
  </r>
  <r>
    <d v="2024-09-02T00:00:00"/>
    <s v="AD005"/>
    <x v="2"/>
    <x v="2"/>
    <x v="0"/>
    <n v="204641"/>
    <n v="14981"/>
    <n v="3396"/>
    <n v="1681"/>
    <n v="682"/>
    <n v="155414.22"/>
    <x v="307"/>
    <x v="3"/>
    <n v="7.3206248992137457"/>
    <n v="10.374088512115346"/>
    <n v="22.668713704025098"/>
    <n v="227.88008797653958"/>
    <n v="34.577010391970568"/>
  </r>
  <r>
    <d v="2024-09-03T00:00:00"/>
    <s v="AD005"/>
    <x v="2"/>
    <x v="2"/>
    <x v="1"/>
    <n v="80461"/>
    <n v="5310"/>
    <n v="1043"/>
    <n v="626"/>
    <n v="251"/>
    <n v="56362.02"/>
    <x v="308"/>
    <x v="2"/>
    <n v="6.5994705509501497"/>
    <n v="10.614316384180791"/>
    <n v="19.642184557438792"/>
    <n v="224.54988047808763"/>
    <n v="17.538258742323286"/>
  </r>
  <r>
    <d v="2024-09-04T00:00:00"/>
    <s v="AD005"/>
    <x v="2"/>
    <x v="2"/>
    <x v="0"/>
    <n v="225116"/>
    <n v="11836"/>
    <n v="2871"/>
    <n v="1828"/>
    <n v="993"/>
    <n v="145813.18"/>
    <x v="309"/>
    <x v="4"/>
    <n v="5.2577337905790795"/>
    <n v="12.319464346062858"/>
    <n v="24.25650557620818"/>
    <n v="146.84106747230612"/>
    <n v="49.755114181036312"/>
  </r>
  <r>
    <d v="2024-09-05T00:00:00"/>
    <s v="AD005"/>
    <x v="2"/>
    <x v="2"/>
    <x v="0"/>
    <n v="116737"/>
    <n v="9182"/>
    <n v="1836"/>
    <n v="1173"/>
    <n v="621"/>
    <n v="99175.679999999993"/>
    <x v="310"/>
    <x v="4"/>
    <n v="7.8655439149541273"/>
    <n v="10.801097800043562"/>
    <n v="19.995643650620778"/>
    <n v="159.70318840579708"/>
    <n v="25.587070943198981"/>
  </r>
  <r>
    <d v="2024-09-06T00:00:00"/>
    <s v="AD005"/>
    <x v="2"/>
    <x v="2"/>
    <x v="1"/>
    <n v="63297"/>
    <n v="4534"/>
    <n v="954"/>
    <n v="479"/>
    <n v="279"/>
    <n v="50866.84"/>
    <x v="311"/>
    <x v="3"/>
    <n v="7.1630567009494923"/>
    <n v="11.218976621085133"/>
    <n v="21.041023378914865"/>
    <n v="182.31842293906809"/>
    <n v="42.112035266983369"/>
  </r>
  <r>
    <d v="2024-09-07T00:00:00"/>
    <s v="AD005"/>
    <x v="2"/>
    <x v="2"/>
    <x v="1"/>
    <n v="58123"/>
    <n v="2245"/>
    <n v="487"/>
    <n v="238"/>
    <n v="102"/>
    <n v="48037.73"/>
    <x v="312"/>
    <x v="0"/>
    <n v="3.8624984945718559"/>
    <n v="21.397652561247217"/>
    <n v="21.692650334075726"/>
    <n v="470.958137254902"/>
    <n v="16.792165241779742"/>
  </r>
  <r>
    <d v="2024-09-08T00:00:00"/>
    <s v="AD005"/>
    <x v="2"/>
    <x v="2"/>
    <x v="0"/>
    <n v="245747"/>
    <n v="19560"/>
    <n v="3600"/>
    <n v="2070"/>
    <n v="927"/>
    <n v="200843.09"/>
    <x v="313"/>
    <x v="0"/>
    <n v="7.9594054047455316"/>
    <n v="10.268051635991819"/>
    <n v="18.404907975460123"/>
    <n v="216.65921251348436"/>
    <n v="19.254564396514713"/>
  </r>
  <r>
    <d v="2024-09-09T00:00:00"/>
    <s v="AD005"/>
    <x v="2"/>
    <x v="2"/>
    <x v="0"/>
    <n v="84497"/>
    <n v="2556"/>
    <n v="527"/>
    <n v="306"/>
    <n v="147"/>
    <n v="40400.53"/>
    <x v="314"/>
    <x v="2"/>
    <n v="3.0249594660165453"/>
    <n v="15.80615414710485"/>
    <n v="20.618153364632239"/>
    <n v="274.83353741496597"/>
    <n v="12.807842124843411"/>
  </r>
  <r>
    <d v="2024-09-10T00:00:00"/>
    <s v="AD005"/>
    <x v="2"/>
    <x v="2"/>
    <x v="0"/>
    <n v="241659"/>
    <n v="17679"/>
    <n v="2873"/>
    <n v="1586"/>
    <n v="722"/>
    <n v="135221.60999999999"/>
    <x v="315"/>
    <x v="2"/>
    <n v="7.3156803595148538"/>
    <n v="7.6487137281520443"/>
    <n v="16.25091916963629"/>
    <n v="187.28754847645428"/>
    <n v="36.087732057028468"/>
  </r>
  <r>
    <d v="2024-09-11T00:00:00"/>
    <s v="AD005"/>
    <x v="2"/>
    <x v="2"/>
    <x v="1"/>
    <n v="65507"/>
    <n v="2625"/>
    <n v="419"/>
    <n v="269"/>
    <n v="116"/>
    <n v="58810.83"/>
    <x v="316"/>
    <x v="0"/>
    <n v="4.0072053368342315"/>
    <n v="22.404125714285716"/>
    <n v="15.961904761904764"/>
    <n v="506.98991379310348"/>
    <n v="13.822731629531498"/>
  </r>
  <r>
    <d v="2024-09-12T00:00:00"/>
    <s v="AD005"/>
    <x v="2"/>
    <x v="2"/>
    <x v="0"/>
    <n v="89606"/>
    <n v="3064"/>
    <n v="523"/>
    <n v="302"/>
    <n v="174"/>
    <n v="82237.509999999995"/>
    <x v="317"/>
    <x v="3"/>
    <n v="3.4194138785349195"/>
    <n v="26.839918407310702"/>
    <n v="17.069190600522195"/>
    <n v="472.62936781609193"/>
    <n v="13.254482534794645"/>
  </r>
  <r>
    <d v="2024-09-13T00:00:00"/>
    <s v="AD005"/>
    <x v="2"/>
    <x v="2"/>
    <x v="2"/>
    <n v="288944"/>
    <n v="22296"/>
    <n v="3936"/>
    <n v="2456"/>
    <n v="1336"/>
    <n v="268441.11"/>
    <x v="318"/>
    <x v="1"/>
    <n v="7.7163741070934151"/>
    <n v="12.039877556512378"/>
    <n v="17.653390742734125"/>
    <n v="200.9289745508982"/>
    <n v="37.999465171336837"/>
  </r>
  <r>
    <d v="2024-09-14T00:00:00"/>
    <s v="AD005"/>
    <x v="2"/>
    <x v="2"/>
    <x v="2"/>
    <n v="61065"/>
    <n v="3349"/>
    <n v="511"/>
    <n v="253"/>
    <n v="103"/>
    <n v="50674.5"/>
    <x v="319"/>
    <x v="2"/>
    <n v="5.4843199868992061"/>
    <n v="15.131233203941475"/>
    <n v="15.258286055538967"/>
    <n v="491.98543689320388"/>
    <n v="12.204775577460063"/>
  </r>
  <r>
    <d v="2024-09-15T00:00:00"/>
    <s v="AD005"/>
    <x v="2"/>
    <x v="2"/>
    <x v="0"/>
    <n v="52998"/>
    <n v="2691"/>
    <n v="556"/>
    <n v="360"/>
    <n v="169"/>
    <n v="42374.05"/>
    <x v="320"/>
    <x v="4"/>
    <n v="5.0775500962300466"/>
    <n v="15.746581196581198"/>
    <n v="20.661464139725009"/>
    <n v="250.73402366863908"/>
    <n v="29.824301901753547"/>
  </r>
  <r>
    <d v="2024-09-16T00:00:00"/>
    <s v="AD005"/>
    <x v="2"/>
    <x v="2"/>
    <x v="0"/>
    <n v="188733"/>
    <n v="6063"/>
    <n v="1486"/>
    <n v="848"/>
    <n v="495"/>
    <n v="117044.6"/>
    <x v="321"/>
    <x v="0"/>
    <n v="3.2124747659391844"/>
    <n v="19.304733630216067"/>
    <n v="24.509318819066468"/>
    <n v="236.4537373737374"/>
    <n v="14.679572829502598"/>
  </r>
  <r>
    <d v="2024-09-17T00:00:00"/>
    <s v="AD005"/>
    <x v="2"/>
    <x v="2"/>
    <x v="1"/>
    <n v="264523"/>
    <n v="8422"/>
    <n v="1397"/>
    <n v="690"/>
    <n v="285"/>
    <n v="174372.08"/>
    <x v="322"/>
    <x v="1"/>
    <n v="3.1838441269757261"/>
    <n v="20.704355260033246"/>
    <n v="16.587508905248161"/>
    <n v="611.83185964912275"/>
    <n v="12.561199935218989"/>
  </r>
  <r>
    <d v="2024-09-18T00:00:00"/>
    <s v="AD005"/>
    <x v="2"/>
    <x v="2"/>
    <x v="0"/>
    <n v="99863"/>
    <n v="5899"/>
    <n v="1473"/>
    <n v="894"/>
    <n v="463"/>
    <n v="73758.95"/>
    <x v="323"/>
    <x v="2"/>
    <n v="5.9070927170223202"/>
    <n v="12.503636209527038"/>
    <n v="24.970333954907613"/>
    <n v="159.30658747300217"/>
    <n v="23.9312179742255"/>
  </r>
  <r>
    <d v="2024-09-19T00:00:00"/>
    <s v="AD005"/>
    <x v="2"/>
    <x v="2"/>
    <x v="2"/>
    <n v="76229"/>
    <n v="4994"/>
    <n v="1189"/>
    <n v="748"/>
    <n v="448"/>
    <n v="38131.31"/>
    <x v="324"/>
    <x v="1"/>
    <n v="6.5513124926209185"/>
    <n v="7.6354245094112931"/>
    <n v="23.808570284341211"/>
    <n v="85.114531249999999"/>
    <n v="54.296370620364215"/>
  </r>
  <r>
    <d v="2024-09-20T00:00:00"/>
    <s v="AD005"/>
    <x v="2"/>
    <x v="2"/>
    <x v="0"/>
    <n v="121757"/>
    <n v="6018"/>
    <n v="1136"/>
    <n v="664"/>
    <n v="374"/>
    <n v="107787.88"/>
    <x v="325"/>
    <x v="4"/>
    <n v="4.9426316351421269"/>
    <n v="17.910913924891993"/>
    <n v="18.876703223662346"/>
    <n v="288.20288770053475"/>
    <n v="20.5968355625883"/>
  </r>
  <r>
    <d v="2024-09-21T00:00:00"/>
    <s v="AD005"/>
    <x v="2"/>
    <x v="2"/>
    <x v="2"/>
    <n v="114298"/>
    <n v="4785"/>
    <n v="1131"/>
    <n v="713"/>
    <n v="345"/>
    <n v="80918.92"/>
    <x v="326"/>
    <x v="1"/>
    <n v="4.1864249593168736"/>
    <n v="16.910955067920586"/>
    <n v="23.636363636363637"/>
    <n v="234.54759420289855"/>
    <n v="27.998120217125983"/>
  </r>
  <r>
    <d v="2024-09-22T00:00:00"/>
    <s v="AD005"/>
    <x v="2"/>
    <x v="2"/>
    <x v="0"/>
    <n v="105308"/>
    <n v="7365"/>
    <n v="1272"/>
    <n v="726"/>
    <n v="432"/>
    <n v="43967.23"/>
    <x v="327"/>
    <x v="1"/>
    <n v="6.9937706537015227"/>
    <n v="5.9697528852681607"/>
    <n v="17.270875763747455"/>
    <n v="101.77599537037038"/>
    <n v="52.843684944446125"/>
  </r>
  <r>
    <d v="2024-09-23T00:00:00"/>
    <s v="AD005"/>
    <x v="2"/>
    <x v="2"/>
    <x v="1"/>
    <n v="136857"/>
    <n v="9505"/>
    <n v="1522"/>
    <n v="788"/>
    <n v="362"/>
    <n v="65108.72"/>
    <x v="328"/>
    <x v="4"/>
    <n v="6.9452055795465348"/>
    <n v="6.8499442398737509"/>
    <n v="16.012624934245135"/>
    <n v="179.85834254143646"/>
    <n v="22.870506592665311"/>
  </r>
  <r>
    <d v="2024-09-24T00:00:00"/>
    <s v="AD005"/>
    <x v="2"/>
    <x v="2"/>
    <x v="0"/>
    <n v="134230"/>
    <n v="8702"/>
    <n v="1365"/>
    <n v="650"/>
    <n v="332"/>
    <n v="124821.77"/>
    <x v="329"/>
    <x v="0"/>
    <n v="6.4829024808165086"/>
    <n v="14.34403240634337"/>
    <n v="15.68604918409561"/>
    <n v="375.96918674698799"/>
    <n v="11.812365343000664"/>
  </r>
  <r>
    <d v="2024-09-25T00:00:00"/>
    <s v="AD005"/>
    <x v="2"/>
    <x v="2"/>
    <x v="1"/>
    <n v="262940"/>
    <n v="21020"/>
    <n v="4963"/>
    <n v="2852"/>
    <n v="1664"/>
    <n v="200318.65"/>
    <x v="330"/>
    <x v="1"/>
    <n v="7.9942192135087851"/>
    <n v="9.529907231208373"/>
    <n v="23.610846812559465"/>
    <n v="120.38380408653846"/>
    <n v="37.140058002587381"/>
  </r>
  <r>
    <d v="2024-09-26T00:00:00"/>
    <s v="AD005"/>
    <x v="2"/>
    <x v="2"/>
    <x v="2"/>
    <n v="273481"/>
    <n v="17743"/>
    <n v="3097"/>
    <n v="1835"/>
    <n v="1000"/>
    <n v="262907.98"/>
    <x v="331"/>
    <x v="4"/>
    <n v="6.4878364493328604"/>
    <n v="14.81756072817449"/>
    <n v="17.454770895564447"/>
    <n v="262.90798000000001"/>
    <n v="27.787197216303593"/>
  </r>
  <r>
    <d v="2024-09-27T00:00:00"/>
    <s v="AD005"/>
    <x v="2"/>
    <x v="2"/>
    <x v="0"/>
    <n v="81135"/>
    <n v="4547"/>
    <n v="1123"/>
    <n v="543"/>
    <n v="325"/>
    <n v="72931.67"/>
    <x v="332"/>
    <x v="1"/>
    <n v="5.6042398471682997"/>
    <n v="16.039513965251814"/>
    <n v="24.697602815042885"/>
    <n v="224.40513846153846"/>
    <n v="21.527775519194886"/>
  </r>
  <r>
    <d v="2024-09-28T00:00:00"/>
    <s v="AD005"/>
    <x v="2"/>
    <x v="2"/>
    <x v="1"/>
    <n v="177065"/>
    <n v="8511"/>
    <n v="1962"/>
    <n v="1141"/>
    <n v="682"/>
    <n v="126930.36"/>
    <x v="333"/>
    <x v="0"/>
    <n v="4.8067094005026405"/>
    <n v="14.913683468452591"/>
    <n v="23.052520267888614"/>
    <n v="186.11489736070382"/>
    <n v="36.348517249931376"/>
  </r>
  <r>
    <d v="2024-09-29T00:00:00"/>
    <s v="AD005"/>
    <x v="2"/>
    <x v="2"/>
    <x v="0"/>
    <n v="120820"/>
    <n v="8446"/>
    <n v="1398"/>
    <n v="808"/>
    <n v="382"/>
    <n v="96604.45"/>
    <x v="334"/>
    <x v="4"/>
    <n v="6.9905644760801184"/>
    <n v="11.437893677480464"/>
    <n v="16.552214065829979"/>
    <n v="252.89123036649215"/>
    <n v="19.782251542242619"/>
  </r>
  <r>
    <d v="2024-09-30T00:00:00"/>
    <s v="AD005"/>
    <x v="2"/>
    <x v="2"/>
    <x v="0"/>
    <n v="108200"/>
    <n v="3265"/>
    <n v="588"/>
    <n v="270"/>
    <n v="146"/>
    <n v="90135.86"/>
    <x v="335"/>
    <x v="3"/>
    <n v="3.0175600739371533"/>
    <n v="27.606695252679938"/>
    <n v="18.009188361408881"/>
    <n v="617.36890410958904"/>
    <n v="6.1051899876475364"/>
  </r>
  <r>
    <d v="2024-10-01T00:00:00"/>
    <s v="AD005"/>
    <x v="2"/>
    <x v="2"/>
    <x v="2"/>
    <n v="181393"/>
    <n v="7776"/>
    <n v="1216"/>
    <n v="691"/>
    <n v="308"/>
    <n v="116710.52"/>
    <x v="336"/>
    <x v="4"/>
    <n v="4.2868247396536798"/>
    <n v="15.009068930041153"/>
    <n v="15.637860082304528"/>
    <n v="378.93025974025977"/>
    <n v="8.1899444026125501"/>
  </r>
  <r>
    <d v="2024-10-02T00:00:00"/>
    <s v="AD005"/>
    <x v="2"/>
    <x v="2"/>
    <x v="2"/>
    <n v="188107"/>
    <n v="11836"/>
    <n v="2751"/>
    <n v="1255"/>
    <n v="668"/>
    <n v="83985.35"/>
    <x v="337"/>
    <x v="1"/>
    <n v="6.2921635026873011"/>
    <n v="7.0957544778641441"/>
    <n v="23.242649543764784"/>
    <n v="125.72657185628744"/>
    <n v="43.399042809251846"/>
  </r>
  <r>
    <d v="2024-10-03T00:00:00"/>
    <s v="AD005"/>
    <x v="2"/>
    <x v="2"/>
    <x v="0"/>
    <n v="136913"/>
    <n v="4144"/>
    <n v="997"/>
    <n v="508"/>
    <n v="257"/>
    <n v="88554.32"/>
    <x v="338"/>
    <x v="4"/>
    <n v="3.0267396083644358"/>
    <n v="21.369285714285716"/>
    <n v="24.058880308880308"/>
    <n v="344.56933852140082"/>
    <n v="19.273548822914567"/>
  </r>
  <r>
    <d v="2024-10-04T00:00:00"/>
    <s v="AD005"/>
    <x v="2"/>
    <x v="2"/>
    <x v="2"/>
    <n v="275383"/>
    <n v="21966"/>
    <n v="4741"/>
    <n v="2231"/>
    <n v="912"/>
    <n v="239728.52"/>
    <x v="339"/>
    <x v="3"/>
    <n v="7.9765272366122826"/>
    <n v="10.913617408722571"/>
    <n v="21.583356095784396"/>
    <n v="262.86021929824562"/>
    <n v="16.378410628822973"/>
  </r>
  <r>
    <d v="2024-10-05T00:00:00"/>
    <s v="AD005"/>
    <x v="2"/>
    <x v="2"/>
    <x v="2"/>
    <n v="287478"/>
    <n v="15296"/>
    <n v="2824"/>
    <n v="1485"/>
    <n v="658"/>
    <n v="273924.01"/>
    <x v="340"/>
    <x v="1"/>
    <n v="5.3207549795114755"/>
    <n v="17.908211950836822"/>
    <n v="18.46234309623431"/>
    <n v="416.29788753799392"/>
    <n v="8.3912095913023457"/>
  </r>
  <r>
    <d v="2024-10-06T00:00:00"/>
    <s v="AD005"/>
    <x v="2"/>
    <x v="2"/>
    <x v="2"/>
    <n v="177706"/>
    <n v="6076"/>
    <n v="1461"/>
    <n v="913"/>
    <n v="494"/>
    <n v="142058.98000000001"/>
    <x v="341"/>
    <x v="3"/>
    <n v="3.4191304739288491"/>
    <n v="23.380345622119819"/>
    <n v="24.045424621461489"/>
    <n v="287.56878542510123"/>
    <n v="12.041953841988727"/>
  </r>
  <r>
    <d v="2024-10-07T00:00:00"/>
    <s v="AD005"/>
    <x v="2"/>
    <x v="2"/>
    <x v="2"/>
    <n v="295188"/>
    <n v="8972"/>
    <n v="1635"/>
    <n v="877"/>
    <n v="449"/>
    <n v="209783.61"/>
    <x v="342"/>
    <x v="2"/>
    <n v="3.039418946569644"/>
    <n v="23.382034106107891"/>
    <n v="18.223361569326794"/>
    <n v="467.22407572383071"/>
    <n v="15.875951128879898"/>
  </r>
  <r>
    <d v="2024-10-08T00:00:00"/>
    <s v="AD005"/>
    <x v="2"/>
    <x v="2"/>
    <x v="2"/>
    <n v="142451"/>
    <n v="6326"/>
    <n v="1430"/>
    <n v="782"/>
    <n v="396"/>
    <n v="65523.4"/>
    <x v="343"/>
    <x v="1"/>
    <n v="4.4408252662318972"/>
    <n v="10.357793234271261"/>
    <n v="22.605121719886185"/>
    <n v="165.46313131313133"/>
    <n v="37.291768589542059"/>
  </r>
  <r>
    <d v="2024-10-09T00:00:00"/>
    <s v="AD005"/>
    <x v="2"/>
    <x v="2"/>
    <x v="1"/>
    <n v="54463"/>
    <n v="3186"/>
    <n v="540"/>
    <n v="317"/>
    <n v="161"/>
    <n v="38378.959999999999"/>
    <x v="344"/>
    <x v="2"/>
    <n v="5.8498430126875123"/>
    <n v="12.046126804770873"/>
    <n v="16.949152542372879"/>
    <n v="238.37863354037268"/>
    <n v="22.546908514456881"/>
  </r>
  <r>
    <d v="2024-10-10T00:00:00"/>
    <s v="AD005"/>
    <x v="2"/>
    <x v="2"/>
    <x v="2"/>
    <n v="139686"/>
    <n v="5412"/>
    <n v="1042"/>
    <n v="509"/>
    <n v="290"/>
    <n v="75836.12"/>
    <x v="345"/>
    <x v="2"/>
    <n v="3.8744040204458567"/>
    <n v="14.012586844050258"/>
    <n v="19.253510716925351"/>
    <n v="261.50386206896547"/>
    <n v="21.820096017570521"/>
  </r>
  <r>
    <d v="2024-10-11T00:00:00"/>
    <s v="AD005"/>
    <x v="2"/>
    <x v="2"/>
    <x v="2"/>
    <n v="120409"/>
    <n v="4489"/>
    <n v="780"/>
    <n v="484"/>
    <n v="246"/>
    <n v="110563.17"/>
    <x v="346"/>
    <x v="2"/>
    <n v="3.7281266350521971"/>
    <n v="24.62979950991312"/>
    <n v="17.375807529516596"/>
    <n v="449.44378048780487"/>
    <n v="17.083962408096657"/>
  </r>
  <r>
    <d v="2024-10-12T00:00:00"/>
    <s v="AD005"/>
    <x v="2"/>
    <x v="2"/>
    <x v="0"/>
    <n v="216016"/>
    <n v="10639"/>
    <n v="1987"/>
    <n v="1050"/>
    <n v="475"/>
    <n v="139364"/>
    <x v="347"/>
    <x v="4"/>
    <n v="4.9250981408784531"/>
    <n v="13.099351442804775"/>
    <n v="18.676567346555128"/>
    <n v="293.39789473684209"/>
    <n v="13.10562067678884"/>
  </r>
  <r>
    <d v="2024-10-13T00:00:00"/>
    <s v="AD005"/>
    <x v="2"/>
    <x v="2"/>
    <x v="0"/>
    <n v="58912"/>
    <n v="4326"/>
    <n v="782"/>
    <n v="498"/>
    <n v="295"/>
    <n v="48216.62"/>
    <x v="348"/>
    <x v="4"/>
    <n v="7.343155893536121"/>
    <n v="11.145774387424874"/>
    <n v="18.076745261211279"/>
    <n v="163.44616949152544"/>
    <n v="25.181788769100777"/>
  </r>
  <r>
    <d v="2024-10-14T00:00:00"/>
    <s v="AD005"/>
    <x v="2"/>
    <x v="2"/>
    <x v="1"/>
    <n v="202717"/>
    <n v="6817"/>
    <n v="1069"/>
    <n v="693"/>
    <n v="358"/>
    <n v="116988.99"/>
    <x v="349"/>
    <x v="0"/>
    <n v="3.3628161427014018"/>
    <n v="17.161359835704857"/>
    <n v="15.681384773360715"/>
    <n v="326.78488826815646"/>
    <n v="13.0119731779888"/>
  </r>
  <r>
    <d v="2024-10-15T00:00:00"/>
    <s v="AD005"/>
    <x v="2"/>
    <x v="2"/>
    <x v="1"/>
    <n v="251656"/>
    <n v="18834"/>
    <n v="3343"/>
    <n v="1918"/>
    <n v="1080"/>
    <n v="241798.27"/>
    <x v="350"/>
    <x v="4"/>
    <n v="7.4840258130145916"/>
    <n v="12.838391738345544"/>
    <n v="17.749814165870234"/>
    <n v="223.88728703703703"/>
    <n v="29.106359073619508"/>
  </r>
  <r>
    <d v="2024-10-16T00:00:00"/>
    <s v="AD005"/>
    <x v="2"/>
    <x v="2"/>
    <x v="0"/>
    <n v="199622"/>
    <n v="6041"/>
    <n v="993"/>
    <n v="525"/>
    <n v="228"/>
    <n v="176721.83"/>
    <x v="351"/>
    <x v="4"/>
    <n v="3.0262195549588724"/>
    <n v="29.253737791756329"/>
    <n v="16.437675881476576"/>
    <n v="775.09574561403508"/>
    <n v="5.5936069131923318"/>
  </r>
  <r>
    <d v="2024-10-17T00:00:00"/>
    <s v="AD005"/>
    <x v="2"/>
    <x v="2"/>
    <x v="2"/>
    <n v="69381"/>
    <n v="3391"/>
    <n v="607"/>
    <n v="363"/>
    <n v="166"/>
    <n v="49757.02"/>
    <x v="352"/>
    <x v="3"/>
    <n v="4.8875052247733528"/>
    <n v="14.673258625774107"/>
    <n v="17.900324388086112"/>
    <n v="299.74108433734938"/>
    <n v="11.618355962636027"/>
  </r>
  <r>
    <d v="2024-10-18T00:00:00"/>
    <s v="AD005"/>
    <x v="2"/>
    <x v="2"/>
    <x v="0"/>
    <n v="287101"/>
    <n v="12759"/>
    <n v="2552"/>
    <n v="1493"/>
    <n v="878"/>
    <n v="208157.08"/>
    <x v="353"/>
    <x v="1"/>
    <n v="4.4440806545431748"/>
    <n v="16.314529351830078"/>
    <n v="20.001567520965594"/>
    <n v="237.08095671981775"/>
    <n v="20.189862482698164"/>
  </r>
  <r>
    <d v="2024-10-19T00:00:00"/>
    <s v="AD005"/>
    <x v="2"/>
    <x v="2"/>
    <x v="0"/>
    <n v="184878"/>
    <n v="12850"/>
    <n v="2357"/>
    <n v="1514"/>
    <n v="788"/>
    <n v="119293.73"/>
    <x v="354"/>
    <x v="2"/>
    <n v="6.9505295383982952"/>
    <n v="9.2835587548638134"/>
    <n v="18.342412451361866"/>
    <n v="151.38798223350253"/>
    <n v="38.734817077142274"/>
  </r>
  <r>
    <d v="2024-10-20T00:00:00"/>
    <s v="AD005"/>
    <x v="2"/>
    <x v="2"/>
    <x v="1"/>
    <n v="92994"/>
    <n v="4254"/>
    <n v="1025"/>
    <n v="663"/>
    <n v="325"/>
    <n v="63509.98"/>
    <x v="355"/>
    <x v="0"/>
    <n v="4.5744886766888184"/>
    <n v="14.929473436765399"/>
    <n v="24.094969440526562"/>
    <n v="195.41532307692307"/>
    <n v="31.165033432540834"/>
  </r>
  <r>
    <d v="2024-10-21T00:00:00"/>
    <s v="AD005"/>
    <x v="2"/>
    <x v="2"/>
    <x v="2"/>
    <n v="122794"/>
    <n v="7849"/>
    <n v="1907"/>
    <n v="1022"/>
    <n v="609"/>
    <n v="115044.95"/>
    <x v="356"/>
    <x v="2"/>
    <n v="6.3920061240777235"/>
    <n v="14.657274812077972"/>
    <n v="24.296088673716397"/>
    <n v="188.90796387520524"/>
    <n v="18.658224111532057"/>
  </r>
  <r>
    <d v="2024-10-22T00:00:00"/>
    <s v="AD005"/>
    <x v="2"/>
    <x v="2"/>
    <x v="0"/>
    <n v="91570"/>
    <n v="6739"/>
    <n v="1285"/>
    <n v="721"/>
    <n v="353"/>
    <n v="79415.47"/>
    <x v="357"/>
    <x v="0"/>
    <n v="7.3593971824833462"/>
    <n v="11.784459118563586"/>
    <n v="19.068110995696692"/>
    <n v="224.9730028328612"/>
    <n v="25.226665283225042"/>
  </r>
  <r>
    <d v="2024-10-23T00:00:00"/>
    <s v="AD005"/>
    <x v="2"/>
    <x v="2"/>
    <x v="2"/>
    <n v="136044"/>
    <n v="5700"/>
    <n v="1277"/>
    <n v="576"/>
    <n v="315"/>
    <n v="81289.850000000006"/>
    <x v="358"/>
    <x v="0"/>
    <n v="4.1898209402840259"/>
    <n v="14.261377192982458"/>
    <n v="22.403508771929825"/>
    <n v="258.0630158730159"/>
    <n v="15.511893797319098"/>
  </r>
  <r>
    <d v="2024-10-24T00:00:00"/>
    <s v="AD005"/>
    <x v="2"/>
    <x v="2"/>
    <x v="1"/>
    <n v="167984"/>
    <n v="5400"/>
    <n v="1206"/>
    <n v="563"/>
    <n v="278"/>
    <n v="99048.93"/>
    <x v="359"/>
    <x v="2"/>
    <n v="3.2145918658919901"/>
    <n v="18.342394444444444"/>
    <n v="22.333333333333332"/>
    <n v="356.29111510791364"/>
    <n v="13.794438970718815"/>
  </r>
  <r>
    <d v="2024-10-25T00:00:00"/>
    <s v="AD005"/>
    <x v="2"/>
    <x v="2"/>
    <x v="1"/>
    <n v="95036"/>
    <n v="5272"/>
    <n v="948"/>
    <n v="435"/>
    <n v="238"/>
    <n v="52509.599999999999"/>
    <x v="360"/>
    <x v="1"/>
    <n v="5.5473715223704705"/>
    <n v="9.9600910470409705"/>
    <n v="17.981790591805765"/>
    <n v="220.62857142857143"/>
    <n v="29.560925240337006"/>
  </r>
  <r>
    <d v="2024-10-26T00:00:00"/>
    <s v="AD005"/>
    <x v="2"/>
    <x v="2"/>
    <x v="2"/>
    <n v="59294"/>
    <n v="3218"/>
    <n v="771"/>
    <n v="376"/>
    <n v="216"/>
    <n v="51407.62"/>
    <x v="361"/>
    <x v="0"/>
    <n v="5.42719330792323"/>
    <n v="15.975021752641393"/>
    <n v="23.958980733374766"/>
    <n v="237.99824074074075"/>
    <n v="16.090854235228161"/>
  </r>
  <r>
    <d v="2024-10-27T00:00:00"/>
    <s v="AD005"/>
    <x v="2"/>
    <x v="2"/>
    <x v="1"/>
    <n v="130677"/>
    <n v="9462"/>
    <n v="1831"/>
    <n v="969"/>
    <n v="562"/>
    <n v="89431.65"/>
    <x v="362"/>
    <x v="1"/>
    <n v="7.240753919970615"/>
    <n v="9.4516645529486354"/>
    <n v="19.351088564785456"/>
    <n v="159.13104982206406"/>
    <n v="27.817460597003411"/>
  </r>
  <r>
    <d v="2024-10-28T00:00:00"/>
    <s v="AD005"/>
    <x v="2"/>
    <x v="2"/>
    <x v="1"/>
    <n v="97058"/>
    <n v="3274"/>
    <n v="651"/>
    <n v="375"/>
    <n v="190"/>
    <n v="45063.28"/>
    <x v="363"/>
    <x v="3"/>
    <n v="3.3732407426487256"/>
    <n v="13.763982895540623"/>
    <n v="19.883934025656689"/>
    <n v="237.17515789473683"/>
    <n v="19.880523787882286"/>
  </r>
  <r>
    <d v="2024-10-29T00:00:00"/>
    <s v="AD005"/>
    <x v="2"/>
    <x v="2"/>
    <x v="0"/>
    <n v="179478"/>
    <n v="6773"/>
    <n v="1044"/>
    <n v="667"/>
    <n v="270"/>
    <n v="91661.15"/>
    <x v="364"/>
    <x v="1"/>
    <n v="3.7737215703317393"/>
    <n v="13.533316108076184"/>
    <n v="15.414144396869926"/>
    <n v="339.48574074074071"/>
    <n v="22.700176574262926"/>
  </r>
  <r>
    <d v="2024-10-30T00:00:00"/>
    <s v="AD005"/>
    <x v="2"/>
    <x v="2"/>
    <x v="2"/>
    <n v="281673"/>
    <n v="15379"/>
    <n v="3271"/>
    <n v="1753"/>
    <n v="1035"/>
    <n v="204309.98"/>
    <x v="365"/>
    <x v="4"/>
    <n v="5.4598772335296601"/>
    <n v="13.284997724169322"/>
    <n v="21.269263281097601"/>
    <n v="197.4009468599034"/>
    <n v="16.933885461689144"/>
  </r>
  <r>
    <d v="2024-10-31T00:00:00"/>
    <s v="AD005"/>
    <x v="2"/>
    <x v="2"/>
    <x v="2"/>
    <n v="116450"/>
    <n v="6235"/>
    <n v="1558"/>
    <n v="824"/>
    <n v="360"/>
    <n v="65629.02"/>
    <x v="366"/>
    <x v="4"/>
    <n v="5.3542292829540576"/>
    <n v="10.525905372894949"/>
    <n v="24.987971130713714"/>
    <n v="182.30283333333335"/>
    <n v="29.707414494380686"/>
  </r>
  <r>
    <d v="2024-11-01T00:00:00"/>
    <s v="AD005"/>
    <x v="2"/>
    <x v="2"/>
    <x v="0"/>
    <n v="225961"/>
    <n v="14171"/>
    <n v="3221"/>
    <n v="1819"/>
    <n v="993"/>
    <n v="168277.96"/>
    <x v="367"/>
    <x v="1"/>
    <n v="6.2714362212948256"/>
    <n v="11.874811939877214"/>
    <n v="22.729518029779129"/>
    <n v="169.46420946626384"/>
    <n v="19.148126884827938"/>
  </r>
  <r>
    <d v="2024-11-02T00:00:00"/>
    <s v="AD005"/>
    <x v="2"/>
    <x v="2"/>
    <x v="2"/>
    <n v="106756"/>
    <n v="7681"/>
    <n v="1748"/>
    <n v="926"/>
    <n v="405"/>
    <n v="72448.350000000006"/>
    <x v="368"/>
    <x v="3"/>
    <n v="7.1949117613998279"/>
    <n v="9.4321507616195817"/>
    <n v="22.757453456581175"/>
    <n v="178.88481481481483"/>
    <n v="26.926936914367268"/>
  </r>
  <r>
    <d v="2024-11-03T00:00:00"/>
    <s v="AD005"/>
    <x v="2"/>
    <x v="2"/>
    <x v="0"/>
    <n v="232832"/>
    <n v="9147"/>
    <n v="1633"/>
    <n v="749"/>
    <n v="397"/>
    <n v="193724.4"/>
    <x v="369"/>
    <x v="4"/>
    <n v="3.9285836998350741"/>
    <n v="21.179009511315186"/>
    <n v="17.852847928282497"/>
    <n v="487.97078085642318"/>
    <n v="15.527165602267964"/>
  </r>
  <r>
    <d v="2024-11-04T00:00:00"/>
    <s v="AD005"/>
    <x v="2"/>
    <x v="2"/>
    <x v="1"/>
    <n v="283483"/>
    <n v="9399"/>
    <n v="2257"/>
    <n v="1289"/>
    <n v="646"/>
    <n v="152209.39000000001"/>
    <x v="370"/>
    <x v="3"/>
    <n v="3.3155427309574117"/>
    <n v="16.194211086285776"/>
    <n v="24.013192892860943"/>
    <n v="235.61825077399382"/>
    <n v="17.124158962860307"/>
  </r>
  <r>
    <d v="2024-11-05T00:00:00"/>
    <s v="AD005"/>
    <x v="2"/>
    <x v="2"/>
    <x v="2"/>
    <n v="239123"/>
    <n v="8684"/>
    <n v="1946"/>
    <n v="1221"/>
    <n v="722"/>
    <n v="204001.7"/>
    <x v="371"/>
    <x v="1"/>
    <n v="3.6316038189550981"/>
    <n v="23.491674343620453"/>
    <n v="22.40902809765085"/>
    <n v="282.55083102493074"/>
    <n v="13.304458149123267"/>
  </r>
  <r>
    <d v="2024-11-06T00:00:00"/>
    <s v="AD005"/>
    <x v="2"/>
    <x v="2"/>
    <x v="2"/>
    <n v="276380"/>
    <n v="16064"/>
    <n v="2534"/>
    <n v="1232"/>
    <n v="551"/>
    <n v="170390.62"/>
    <x v="372"/>
    <x v="2"/>
    <n v="5.8122874303495182"/>
    <n v="10.606985806772908"/>
    <n v="15.774402390438247"/>
    <n v="309.23887477313974"/>
    <n v="18.146679377068999"/>
  </r>
  <r>
    <d v="2024-11-07T00:00:00"/>
    <s v="AD005"/>
    <x v="2"/>
    <x v="2"/>
    <x v="0"/>
    <n v="270180"/>
    <n v="14454"/>
    <n v="3258"/>
    <n v="1917"/>
    <n v="990"/>
    <n v="268873.26"/>
    <x v="373"/>
    <x v="0"/>
    <n v="5.3497668221185872"/>
    <n v="18.601996679119967"/>
    <n v="22.540473225404732"/>
    <n v="271.58915151515151"/>
    <n v="23.966196638520319"/>
  </r>
  <r>
    <d v="2024-11-08T00:00:00"/>
    <s v="AD005"/>
    <x v="2"/>
    <x v="2"/>
    <x v="0"/>
    <n v="286662"/>
    <n v="11043"/>
    <n v="1712"/>
    <n v="779"/>
    <n v="318"/>
    <n v="131184.54999999999"/>
    <x v="374"/>
    <x v="2"/>
    <n v="3.852272013730456"/>
    <n v="11.879430408403513"/>
    <n v="15.50303359594313"/>
    <n v="412.53003144654082"/>
    <n v="10.614879114956754"/>
  </r>
  <r>
    <d v="2024-11-09T00:00:00"/>
    <s v="AD005"/>
    <x v="2"/>
    <x v="2"/>
    <x v="1"/>
    <n v="181568"/>
    <n v="10036"/>
    <n v="2164"/>
    <n v="1043"/>
    <n v="557"/>
    <n v="105288.6"/>
    <x v="375"/>
    <x v="3"/>
    <n v="5.5274057102573142"/>
    <n v="10.491092068553209"/>
    <n v="21.562375448385811"/>
    <n v="189.02800718132855"/>
    <n v="27.959786339641706"/>
  </r>
  <r>
    <d v="2024-11-10T00:00:00"/>
    <s v="AD005"/>
    <x v="2"/>
    <x v="2"/>
    <x v="0"/>
    <n v="55161"/>
    <n v="1674"/>
    <n v="327"/>
    <n v="182"/>
    <n v="93"/>
    <n v="27683.46"/>
    <x v="376"/>
    <x v="1"/>
    <n v="3.0347528144884972"/>
    <n v="16.537311827956987"/>
    <n v="19.534050179211469"/>
    <n v="297.67161290322582"/>
    <n v="15.144597171018363"/>
  </r>
  <r>
    <d v="2024-11-11T00:00:00"/>
    <s v="AD005"/>
    <x v="2"/>
    <x v="2"/>
    <x v="2"/>
    <n v="146332"/>
    <n v="7956"/>
    <n v="1417"/>
    <n v="687"/>
    <n v="389"/>
    <n v="145598.6"/>
    <x v="377"/>
    <x v="2"/>
    <n v="5.4369515895361236"/>
    <n v="18.300477626948215"/>
    <n v="17.81045751633987"/>
    <n v="374.28946015424168"/>
    <n v="12.938362662827801"/>
  </r>
  <r>
    <d v="2024-11-12T00:00:00"/>
    <s v="AD005"/>
    <x v="2"/>
    <x v="2"/>
    <x v="0"/>
    <n v="283452"/>
    <n v="10161"/>
    <n v="2461"/>
    <n v="1357"/>
    <n v="599"/>
    <n v="241562.23999999999"/>
    <x v="378"/>
    <x v="2"/>
    <n v="3.5847339232039288"/>
    <n v="23.77347111504773"/>
    <n v="24.220057080995964"/>
    <n v="403.27585976627711"/>
    <n v="9.6590175269114926"/>
  </r>
  <r>
    <d v="2024-11-13T00:00:00"/>
    <s v="AD005"/>
    <x v="2"/>
    <x v="2"/>
    <x v="0"/>
    <n v="266279"/>
    <n v="21175"/>
    <n v="3231"/>
    <n v="1568"/>
    <n v="646"/>
    <n v="219965.47"/>
    <x v="379"/>
    <x v="2"/>
    <n v="7.9521854896555872"/>
    <n v="10.387979693034239"/>
    <n v="15.258559622195985"/>
    <n v="340.50382352941176"/>
    <n v="13.210316146438801"/>
  </r>
  <r>
    <d v="2024-11-14T00:00:00"/>
    <s v="AD005"/>
    <x v="2"/>
    <x v="2"/>
    <x v="2"/>
    <n v="126096"/>
    <n v="4710"/>
    <n v="786"/>
    <n v="422"/>
    <n v="172"/>
    <n v="75860.320000000007"/>
    <x v="380"/>
    <x v="3"/>
    <n v="3.735249333840883"/>
    <n v="16.106225053078557"/>
    <n v="16.687898089171973"/>
    <n v="441.04837209302332"/>
    <n v="9.9801661791039091"/>
  </r>
  <r>
    <d v="2024-11-15T00:00:00"/>
    <s v="AD005"/>
    <x v="2"/>
    <x v="2"/>
    <x v="1"/>
    <n v="72191"/>
    <n v="4406"/>
    <n v="911"/>
    <n v="578"/>
    <n v="345"/>
    <n v="56628.01"/>
    <x v="381"/>
    <x v="0"/>
    <n v="6.1032538682107189"/>
    <n v="12.852476168860646"/>
    <n v="20.676350431230141"/>
    <n v="164.13915942028987"/>
    <n v="27.564723005452599"/>
  </r>
  <r>
    <d v="2024-11-16T00:00:00"/>
    <s v="AD005"/>
    <x v="2"/>
    <x v="2"/>
    <x v="2"/>
    <n v="102772"/>
    <n v="7546"/>
    <n v="1445"/>
    <n v="670"/>
    <n v="401"/>
    <n v="91991.98"/>
    <x v="382"/>
    <x v="3"/>
    <n v="7.3424668197563534"/>
    <n v="12.190826928173866"/>
    <n v="19.149218128809967"/>
    <n v="229.40643391521195"/>
    <n v="24.808033265508584"/>
  </r>
  <r>
    <d v="2024-11-17T00:00:00"/>
    <s v="AD005"/>
    <x v="2"/>
    <x v="2"/>
    <x v="1"/>
    <n v="110873"/>
    <n v="5990"/>
    <n v="1401"/>
    <n v="803"/>
    <n v="465"/>
    <n v="86112.93"/>
    <x v="383"/>
    <x v="3"/>
    <n v="5.4025777240626658"/>
    <n v="14.376115191986644"/>
    <n v="23.388981636060098"/>
    <n v="185.18909677419353"/>
    <n v="27.667020155974257"/>
  </r>
  <r>
    <d v="2024-11-18T00:00:00"/>
    <s v="AD005"/>
    <x v="2"/>
    <x v="2"/>
    <x v="0"/>
    <n v="204362"/>
    <n v="14066"/>
    <n v="3141"/>
    <n v="1562"/>
    <n v="659"/>
    <n v="184747.29"/>
    <x v="384"/>
    <x v="4"/>
    <n v="6.8828842935575105"/>
    <n v="13.134316081330869"/>
    <n v="22.330442201052183"/>
    <n v="280.34490136570565"/>
    <n v="19.316407834723854"/>
  </r>
  <r>
    <d v="2024-11-19T00:00:00"/>
    <s v="AD005"/>
    <x v="2"/>
    <x v="2"/>
    <x v="0"/>
    <n v="180572"/>
    <n v="12720"/>
    <n v="2814"/>
    <n v="1384"/>
    <n v="578"/>
    <n v="137201.60999999999"/>
    <x v="385"/>
    <x v="0"/>
    <n v="7.0442815054382741"/>
    <n v="10.786290094339622"/>
    <n v="22.122641509433961"/>
    <n v="237.37302768166089"/>
    <n v="25.474653686644057"/>
  </r>
  <r>
    <d v="2024-11-20T00:00:00"/>
    <s v="AD005"/>
    <x v="2"/>
    <x v="2"/>
    <x v="2"/>
    <n v="193929"/>
    <n v="13873"/>
    <n v="3062"/>
    <n v="1471"/>
    <n v="874"/>
    <n v="161155.16"/>
    <x v="386"/>
    <x v="0"/>
    <n v="7.1536490158769448"/>
    <n v="11.616460751099257"/>
    <n v="22.071649967562891"/>
    <n v="184.38805491990848"/>
    <n v="42.047587492699584"/>
  </r>
  <r>
    <d v="2024-11-21T00:00:00"/>
    <s v="AD005"/>
    <x v="2"/>
    <x v="2"/>
    <x v="2"/>
    <n v="82283"/>
    <n v="2921"/>
    <n v="481"/>
    <n v="235"/>
    <n v="130"/>
    <n v="76726.47"/>
    <x v="387"/>
    <x v="1"/>
    <n v="3.5499434877192129"/>
    <n v="26.26719274221157"/>
    <n v="16.466963368709344"/>
    <n v="590.20361538461543"/>
    <n v="5.4106170921195771"/>
  </r>
  <r>
    <d v="2024-11-22T00:00:00"/>
    <s v="AD005"/>
    <x v="2"/>
    <x v="2"/>
    <x v="2"/>
    <n v="192091"/>
    <n v="11604"/>
    <n v="2347"/>
    <n v="1104"/>
    <n v="643"/>
    <n v="125058.01"/>
    <x v="388"/>
    <x v="0"/>
    <n v="6.0408868713266113"/>
    <n v="10.777146673560841"/>
    <n v="20.225784212340571"/>
    <n v="194.49146189735615"/>
    <n v="35.237969563085159"/>
  </r>
  <r>
    <d v="2024-11-23T00:00:00"/>
    <s v="AD005"/>
    <x v="2"/>
    <x v="2"/>
    <x v="2"/>
    <n v="65161"/>
    <n v="2390"/>
    <n v="561"/>
    <n v="334"/>
    <n v="173"/>
    <n v="46009.7"/>
    <x v="389"/>
    <x v="4"/>
    <n v="3.6678381240312454"/>
    <n v="19.25092050209205"/>
    <n v="23.472803347280337"/>
    <n v="265.95202312138724"/>
    <n v="17.940427127323154"/>
  </r>
  <r>
    <d v="2024-11-24T00:00:00"/>
    <s v="AD005"/>
    <x v="2"/>
    <x v="2"/>
    <x v="1"/>
    <n v="273486"/>
    <n v="9563"/>
    <n v="1760"/>
    <n v="876"/>
    <n v="515"/>
    <n v="230126.27"/>
    <x v="390"/>
    <x v="3"/>
    <n v="3.4967054986361275"/>
    <n v="24.06423402697898"/>
    <n v="18.40426644358465"/>
    <n v="446.84712621359222"/>
    <n v="16.224997085295826"/>
  </r>
  <r>
    <d v="2024-11-25T00:00:00"/>
    <s v="AD005"/>
    <x v="2"/>
    <x v="2"/>
    <x v="1"/>
    <n v="69058"/>
    <n v="3605"/>
    <n v="672"/>
    <n v="383"/>
    <n v="211"/>
    <n v="46789.73"/>
    <x v="391"/>
    <x v="4"/>
    <n v="5.2202496452257527"/>
    <n v="12.979120665742025"/>
    <n v="18.640776699029125"/>
    <n v="221.7522748815166"/>
    <n v="35.821493733774481"/>
  </r>
  <r>
    <d v="2024-11-26T00:00:00"/>
    <s v="AD005"/>
    <x v="2"/>
    <x v="2"/>
    <x v="1"/>
    <n v="91853"/>
    <n v="6881"/>
    <n v="1240"/>
    <n v="672"/>
    <n v="277"/>
    <n v="44008.160000000003"/>
    <x v="392"/>
    <x v="1"/>
    <n v="7.4913176488519699"/>
    <n v="6.3956052899287901"/>
    <n v="18.0206365353873"/>
    <n v="158.87422382671483"/>
    <n v="42.653313158287006"/>
  </r>
  <r>
    <d v="2024-11-27T00:00:00"/>
    <s v="AD005"/>
    <x v="2"/>
    <x v="2"/>
    <x v="0"/>
    <n v="90600"/>
    <n v="5028"/>
    <n v="1186"/>
    <n v="602"/>
    <n v="308"/>
    <n v="73545.38"/>
    <x v="393"/>
    <x v="2"/>
    <n v="5.5496688741721849"/>
    <n v="14.627163882259348"/>
    <n v="23.587907716785999"/>
    <n v="238.78370129870132"/>
    <n v="22.44458333072723"/>
  </r>
  <r>
    <d v="2024-11-28T00:00:00"/>
    <s v="AD005"/>
    <x v="2"/>
    <x v="2"/>
    <x v="1"/>
    <n v="175761"/>
    <n v="5318"/>
    <n v="1233"/>
    <n v="657"/>
    <n v="374"/>
    <n v="116485.8"/>
    <x v="394"/>
    <x v="4"/>
    <n v="3.0256996717132925"/>
    <n v="21.904061677322304"/>
    <n v="23.185408048138399"/>
    <n v="311.45935828877003"/>
    <n v="17.447759469394551"/>
  </r>
  <r>
    <d v="2024-11-29T00:00:00"/>
    <s v="AD005"/>
    <x v="2"/>
    <x v="2"/>
    <x v="1"/>
    <n v="255808"/>
    <n v="20215"/>
    <n v="4403"/>
    <n v="2084"/>
    <n v="1238"/>
    <n v="219725.73"/>
    <x v="395"/>
    <x v="0"/>
    <n v="7.9024111833875406"/>
    <n v="10.869440019787287"/>
    <n v="21.780855800148405"/>
    <n v="177.48443457189015"/>
    <n v="25.886708534316849"/>
  </r>
  <r>
    <d v="2024-11-30T00:00:00"/>
    <s v="AD005"/>
    <x v="2"/>
    <x v="2"/>
    <x v="1"/>
    <n v="80454"/>
    <n v="5850"/>
    <n v="1090"/>
    <n v="544"/>
    <n v="298"/>
    <n v="70151.88"/>
    <x v="396"/>
    <x v="3"/>
    <n v="7.2712357371914376"/>
    <n v="11.991774358974359"/>
    <n v="18.632478632478634"/>
    <n v="235.40899328859061"/>
    <n v="21.98969820908577"/>
  </r>
  <r>
    <d v="2024-12-01T00:00:00"/>
    <s v="AD005"/>
    <x v="2"/>
    <x v="2"/>
    <x v="0"/>
    <n v="197437"/>
    <n v="15661"/>
    <n v="3170"/>
    <n v="2036"/>
    <n v="967"/>
    <n v="126999.65"/>
    <x v="397"/>
    <x v="2"/>
    <n v="7.9321505087698867"/>
    <n v="8.1092937871144883"/>
    <n v="20.241363897579976"/>
    <n v="131.33366080661841"/>
    <n v="26.621035018600445"/>
  </r>
  <r>
    <d v="2024-12-02T00:00:00"/>
    <s v="AD005"/>
    <x v="2"/>
    <x v="2"/>
    <x v="2"/>
    <n v="89542"/>
    <n v="6519"/>
    <n v="1086"/>
    <n v="697"/>
    <n v="285"/>
    <n v="60866.25"/>
    <x v="398"/>
    <x v="2"/>
    <n v="7.2803823903866345"/>
    <n v="9.3367464335020713"/>
    <n v="16.65899677864703"/>
    <n v="213.56578947368422"/>
    <n v="29.802857577064465"/>
  </r>
  <r>
    <d v="2024-12-03T00:00:00"/>
    <s v="AD005"/>
    <x v="2"/>
    <x v="2"/>
    <x v="0"/>
    <n v="264827"/>
    <n v="17541"/>
    <n v="3210"/>
    <n v="1832"/>
    <n v="918"/>
    <n v="239779.4"/>
    <x v="399"/>
    <x v="1"/>
    <n v="6.6235693490467362"/>
    <n v="13.669653953594436"/>
    <n v="18.299982897212246"/>
    <n v="261.19760348583878"/>
    <n v="18.736961849099629"/>
  </r>
  <r>
    <d v="2024-12-04T00:00:00"/>
    <s v="AD005"/>
    <x v="2"/>
    <x v="2"/>
    <x v="2"/>
    <n v="246484"/>
    <n v="15426"/>
    <n v="3748"/>
    <n v="2056"/>
    <n v="1100"/>
    <n v="197907.72"/>
    <x v="400"/>
    <x v="1"/>
    <n v="6.2584183963259283"/>
    <n v="12.829490470633994"/>
    <n v="24.296642032931416"/>
    <n v="179.91610909090909"/>
    <n v="18.86686133315062"/>
  </r>
  <r>
    <d v="2024-12-05T00:00:00"/>
    <s v="AD005"/>
    <x v="2"/>
    <x v="2"/>
    <x v="1"/>
    <n v="166847"/>
    <n v="6747"/>
    <n v="1403"/>
    <n v="818"/>
    <n v="471"/>
    <n v="125046.51"/>
    <x v="401"/>
    <x v="3"/>
    <n v="4.0438245818024896"/>
    <n v="18.53364606491774"/>
    <n v="20.794427152808655"/>
    <n v="265.49152866242036"/>
    <n v="14.420753845909015"/>
  </r>
  <r>
    <d v="2024-12-06T00:00:00"/>
    <s v="AD005"/>
    <x v="2"/>
    <x v="2"/>
    <x v="0"/>
    <n v="159764"/>
    <n v="8942"/>
    <n v="1411"/>
    <n v="644"/>
    <n v="294"/>
    <n v="90588.72"/>
    <x v="402"/>
    <x v="3"/>
    <n v="5.5970055832352719"/>
    <n v="10.130700067099083"/>
    <n v="15.779467680608365"/>
    <n v="308.12489795918367"/>
    <n v="14.948408698124886"/>
  </r>
  <r>
    <d v="2024-12-07T00:00:00"/>
    <s v="AD005"/>
    <x v="2"/>
    <x v="2"/>
    <x v="1"/>
    <n v="102163"/>
    <n v="5048"/>
    <n v="1064"/>
    <n v="661"/>
    <n v="327"/>
    <n v="60848.34"/>
    <x v="403"/>
    <x v="0"/>
    <n v="4.9411234987226296"/>
    <n v="12.053950079239302"/>
    <n v="21.077654516640255"/>
    <n v="186.08055045871558"/>
    <n v="42.324373023158891"/>
  </r>
  <r>
    <d v="2024-12-08T00:00:00"/>
    <s v="AD005"/>
    <x v="2"/>
    <x v="2"/>
    <x v="2"/>
    <n v="126853"/>
    <n v="7221"/>
    <n v="1286"/>
    <n v="797"/>
    <n v="398"/>
    <n v="50966.79"/>
    <x v="404"/>
    <x v="0"/>
    <n v="5.6924156306906424"/>
    <n v="7.0581346073950977"/>
    <n v="17.809167705303974"/>
    <n v="128.05726130653267"/>
    <n v="49.217732959050387"/>
  </r>
  <r>
    <d v="2024-12-09T00:00:00"/>
    <s v="AD005"/>
    <x v="2"/>
    <x v="2"/>
    <x v="2"/>
    <n v="220003"/>
    <n v="12964"/>
    <n v="2716"/>
    <n v="1272"/>
    <n v="714"/>
    <n v="149924.94"/>
    <x v="405"/>
    <x v="2"/>
    <n v="5.8926469184511117"/>
    <n v="11.564713051527306"/>
    <n v="20.950323974082075"/>
    <n v="209.97890756302522"/>
    <n v="35.153812034208585"/>
  </r>
  <r>
    <d v="2024-12-10T00:00:00"/>
    <s v="AD005"/>
    <x v="2"/>
    <x v="2"/>
    <x v="1"/>
    <n v="201824"/>
    <n v="7307"/>
    <n v="1450"/>
    <n v="689"/>
    <n v="362"/>
    <n v="150905.54999999999"/>
    <x v="406"/>
    <x v="3"/>
    <n v="3.6204812113524656"/>
    <n v="20.652189681127684"/>
    <n v="19.843985219652389"/>
    <n v="416.86616022099446"/>
    <n v="12.624261731924372"/>
  </r>
  <r>
    <d v="2024-12-11T00:00:00"/>
    <s v="AD005"/>
    <x v="2"/>
    <x v="2"/>
    <x v="0"/>
    <n v="250260"/>
    <n v="19853"/>
    <n v="3492"/>
    <n v="1798"/>
    <n v="784"/>
    <n v="135506.91"/>
    <x v="407"/>
    <x v="0"/>
    <n v="7.9329497322784297"/>
    <n v="6.8255130207021608"/>
    <n v="17.589281216944542"/>
    <n v="172.84044642857143"/>
    <n v="21.448538602201172"/>
  </r>
  <r>
    <d v="2024-12-12T00:00:00"/>
    <s v="AD005"/>
    <x v="2"/>
    <x v="2"/>
    <x v="2"/>
    <n v="135664"/>
    <n v="4928"/>
    <n v="1186"/>
    <n v="699"/>
    <n v="396"/>
    <n v="57125.919999999998"/>
    <x v="408"/>
    <x v="0"/>
    <n v="3.6325038329991748"/>
    <n v="11.59211038961039"/>
    <n v="24.066558441558442"/>
    <n v="144.25737373737374"/>
    <n v="44.753367473119035"/>
  </r>
  <r>
    <d v="2024-12-13T00:00:00"/>
    <s v="AD005"/>
    <x v="2"/>
    <x v="2"/>
    <x v="2"/>
    <n v="160397"/>
    <n v="9855"/>
    <n v="1850"/>
    <n v="945"/>
    <n v="509"/>
    <n v="66687.61"/>
    <x v="409"/>
    <x v="3"/>
    <n v="6.1441298777408555"/>
    <n v="6.7668807711821408"/>
    <n v="18.772196854388636"/>
    <n v="131.01691552062869"/>
    <n v="35.370405537100524"/>
  </r>
  <r>
    <d v="2024-12-14T00:00:00"/>
    <s v="AD005"/>
    <x v="2"/>
    <x v="2"/>
    <x v="1"/>
    <n v="79723"/>
    <n v="3466"/>
    <n v="546"/>
    <n v="277"/>
    <n v="162"/>
    <n v="45007.68"/>
    <x v="410"/>
    <x v="3"/>
    <n v="4.3475534036601733"/>
    <n v="12.985481823427582"/>
    <n v="15.753029428736296"/>
    <n v="277.82518518518521"/>
    <n v="15.879405248170977"/>
  </r>
  <r>
    <d v="2024-12-15T00:00:00"/>
    <s v="AD005"/>
    <x v="2"/>
    <x v="2"/>
    <x v="2"/>
    <n v="152326"/>
    <n v="8620"/>
    <n v="2136"/>
    <n v="1366"/>
    <n v="558"/>
    <n v="144403.81"/>
    <x v="411"/>
    <x v="1"/>
    <n v="5.6589157464910782"/>
    <n v="16.752182134570766"/>
    <n v="24.779582366589327"/>
    <n v="258.78818996415771"/>
    <n v="28.158842277083963"/>
  </r>
  <r>
    <d v="2024-12-16T00:00:00"/>
    <s v="AD005"/>
    <x v="2"/>
    <x v="2"/>
    <x v="2"/>
    <n v="215008"/>
    <n v="12718"/>
    <n v="3010"/>
    <n v="1775"/>
    <n v="928"/>
    <n v="185494.55"/>
    <x v="412"/>
    <x v="1"/>
    <n v="5.915128739395743"/>
    <n v="14.58519814436232"/>
    <n v="23.66724327724485"/>
    <n v="199.88636853448276"/>
    <n v="32.167136770325598"/>
  </r>
  <r>
    <d v="2024-12-17T00:00:00"/>
    <s v="AD005"/>
    <x v="2"/>
    <x v="2"/>
    <x v="2"/>
    <n v="226154"/>
    <n v="6787"/>
    <n v="1355"/>
    <n v="775"/>
    <n v="413"/>
    <n v="127284.48"/>
    <x v="413"/>
    <x v="2"/>
    <n v="3.0010523802364757"/>
    <n v="18.754159422425225"/>
    <n v="19.964638279062914"/>
    <n v="308.19486682808713"/>
    <n v="23.94860677436872"/>
  </r>
  <r>
    <d v="2024-12-18T00:00:00"/>
    <s v="AD005"/>
    <x v="2"/>
    <x v="2"/>
    <x v="0"/>
    <n v="65380"/>
    <n v="3622"/>
    <n v="886"/>
    <n v="466"/>
    <n v="197"/>
    <n v="38280.769999999997"/>
    <x v="414"/>
    <x v="2"/>
    <n v="5.5399204649739984"/>
    <n v="10.568959138597458"/>
    <n v="24.461623412479295"/>
    <n v="194.31862944162435"/>
    <n v="16.168318192136681"/>
  </r>
  <r>
    <d v="2024-12-19T00:00:00"/>
    <s v="AD005"/>
    <x v="2"/>
    <x v="2"/>
    <x v="1"/>
    <n v="64816"/>
    <n v="4503"/>
    <n v="783"/>
    <n v="385"/>
    <n v="198"/>
    <n v="36917.17"/>
    <x v="415"/>
    <x v="4"/>
    <n v="6.947358676869908"/>
    <n v="8.1983499888962914"/>
    <n v="17.388407728181214"/>
    <n v="186.45035353535351"/>
    <n v="35.017509467816744"/>
  </r>
  <r>
    <d v="2024-12-20T00:00:00"/>
    <s v="AD005"/>
    <x v="2"/>
    <x v="2"/>
    <x v="2"/>
    <n v="129732"/>
    <n v="6744"/>
    <n v="1532"/>
    <n v="866"/>
    <n v="459"/>
    <n v="59861.08"/>
    <x v="416"/>
    <x v="1"/>
    <n v="5.198409027842013"/>
    <n v="8.8761981020166072"/>
    <n v="22.716488730723604"/>
    <n v="130.41629629629631"/>
    <n v="60.41401825693756"/>
  </r>
  <r>
    <d v="2024-12-21T00:00:00"/>
    <s v="AD005"/>
    <x v="2"/>
    <x v="2"/>
    <x v="2"/>
    <n v="191010"/>
    <n v="6685"/>
    <n v="1113"/>
    <n v="682"/>
    <n v="386"/>
    <n v="84242.54"/>
    <x v="417"/>
    <x v="2"/>
    <n v="3.4998167635202346"/>
    <n v="12.601726252804786"/>
    <n v="16.649214659685864"/>
    <n v="218.24492227979272"/>
    <n v="25.439415169580599"/>
  </r>
  <r>
    <d v="2024-12-22T00:00:00"/>
    <s v="AD005"/>
    <x v="2"/>
    <x v="2"/>
    <x v="1"/>
    <n v="68302"/>
    <n v="2222"/>
    <n v="383"/>
    <n v="243"/>
    <n v="139"/>
    <n v="55070.2"/>
    <x v="418"/>
    <x v="0"/>
    <n v="3.2531990278469154"/>
    <n v="24.784068406840682"/>
    <n v="17.236723672367237"/>
    <n v="396.18848920863309"/>
    <n v="15.739045618138304"/>
  </r>
  <r>
    <d v="2024-12-23T00:00:00"/>
    <s v="AD005"/>
    <x v="2"/>
    <x v="2"/>
    <x v="1"/>
    <n v="148429"/>
    <n v="6118"/>
    <n v="1413"/>
    <n v="782"/>
    <n v="344"/>
    <n v="93856.35"/>
    <x v="419"/>
    <x v="1"/>
    <n v="4.1218360293473655"/>
    <n v="15.341018306636157"/>
    <n v="23.095782935599871"/>
    <n v="272.83822674418604"/>
    <n v="14.025450808602722"/>
  </r>
  <r>
    <d v="2024-12-24T00:00:00"/>
    <s v="AD005"/>
    <x v="2"/>
    <x v="2"/>
    <x v="1"/>
    <n v="130005"/>
    <n v="7572"/>
    <n v="1183"/>
    <n v="758"/>
    <n v="342"/>
    <n v="52249.34"/>
    <x v="420"/>
    <x v="4"/>
    <n v="5.8243913695627096"/>
    <n v="6.9003354463814048"/>
    <n v="15.623349181193872"/>
    <n v="152.77584795321636"/>
    <n v="46.080215367313734"/>
  </r>
  <r>
    <d v="2024-12-25T00:00:00"/>
    <s v="AD005"/>
    <x v="2"/>
    <x v="2"/>
    <x v="2"/>
    <n v="188671"/>
    <n v="14836"/>
    <n v="3690"/>
    <n v="2154"/>
    <n v="921"/>
    <n v="187239.3"/>
    <x v="421"/>
    <x v="0"/>
    <n v="7.8634236316127009"/>
    <n v="12.620605284443245"/>
    <n v="24.871933135616072"/>
    <n v="203.29999999999998"/>
    <n v="30.683441991077732"/>
  </r>
  <r>
    <d v="2024-12-26T00:00:00"/>
    <s v="AD005"/>
    <x v="2"/>
    <x v="2"/>
    <x v="1"/>
    <n v="210372"/>
    <n v="8399"/>
    <n v="1694"/>
    <n v="973"/>
    <n v="468"/>
    <n v="119550.69"/>
    <x v="422"/>
    <x v="4"/>
    <n v="3.9924514669252567"/>
    <n v="14.233919514227885"/>
    <n v="20.169067746160259"/>
    <n v="255.4501923076923"/>
    <n v="27.136641787680187"/>
  </r>
  <r>
    <d v="2024-12-27T00:00:00"/>
    <s v="AD005"/>
    <x v="2"/>
    <x v="2"/>
    <x v="0"/>
    <n v="242821"/>
    <n v="11287"/>
    <n v="2295"/>
    <n v="1202"/>
    <n v="698"/>
    <n v="99352.03"/>
    <x v="423"/>
    <x v="3"/>
    <n v="4.648280008730711"/>
    <n v="8.8023416319659784"/>
    <n v="20.333126605829715"/>
    <n v="142.33815186246417"/>
    <n v="44.784400479788886"/>
  </r>
  <r>
    <d v="2024-12-28T00:00:00"/>
    <s v="AD005"/>
    <x v="2"/>
    <x v="2"/>
    <x v="1"/>
    <n v="203553"/>
    <n v="16070"/>
    <n v="3160"/>
    <n v="1749"/>
    <n v="804"/>
    <n v="85165.18"/>
    <x v="424"/>
    <x v="0"/>
    <n v="7.8947497703300851"/>
    <n v="5.2996378344741748"/>
    <n v="19.663970130678283"/>
    <n v="105.92684079601989"/>
    <n v="48.573249067283136"/>
  </r>
  <r>
    <d v="2024-12-29T00:00:00"/>
    <s v="AD005"/>
    <x v="2"/>
    <x v="2"/>
    <x v="0"/>
    <n v="76603"/>
    <n v="5356"/>
    <n v="1267"/>
    <n v="651"/>
    <n v="332"/>
    <n v="45529.69"/>
    <x v="425"/>
    <x v="0"/>
    <n v="6.9918932678876802"/>
    <n v="8.5006889469753553"/>
    <n v="23.655713218820015"/>
    <n v="137.13762048192771"/>
    <n v="42.578526232003775"/>
  </r>
  <r>
    <d v="2024-12-30T00:00:00"/>
    <s v="AD005"/>
    <x v="2"/>
    <x v="2"/>
    <x v="1"/>
    <n v="170097"/>
    <n v="6950"/>
    <n v="1199"/>
    <n v="740"/>
    <n v="397"/>
    <n v="123129.23"/>
    <x v="426"/>
    <x v="4"/>
    <n v="4.0859039254072682"/>
    <n v="17.716435971223021"/>
    <n v="17.25179856115108"/>
    <n v="310.14919395465995"/>
    <n v="19.67458644872546"/>
  </r>
  <r>
    <d v="2024-12-31T00:00:00"/>
    <s v="AD005"/>
    <x v="2"/>
    <x v="2"/>
    <x v="1"/>
    <n v="131701"/>
    <n v="9179"/>
    <n v="1437"/>
    <n v="927"/>
    <n v="505"/>
    <n v="59393.39"/>
    <x v="427"/>
    <x v="3"/>
    <n v="6.9695750222093986"/>
    <n v="6.4705730471728948"/>
    <n v="15.655300141627629"/>
    <n v="117.61067326732673"/>
    <n v="54.669609698991763"/>
  </r>
  <r>
    <d v="2025-01-01T00:00:00"/>
    <s v="AD003"/>
    <x v="3"/>
    <x v="3"/>
    <x v="1"/>
    <n v="279530"/>
    <n v="19894"/>
    <n v="3599"/>
    <n v="2203"/>
    <n v="1218"/>
    <n v="273389.71999999997"/>
    <x v="428"/>
    <x v="4"/>
    <n v="7.1169463027224271"/>
    <n v="13.742320297577157"/>
    <n v="18.090881672866193"/>
    <n v="224.45789819376023"/>
    <n v="31.395647575922027"/>
  </r>
  <r>
    <d v="2025-01-02T00:00:00"/>
    <s v="AD003"/>
    <x v="3"/>
    <x v="3"/>
    <x v="0"/>
    <n v="107357"/>
    <n v="3850"/>
    <n v="660"/>
    <n v="404"/>
    <n v="170"/>
    <n v="64297.75"/>
    <x v="429"/>
    <x v="0"/>
    <n v="3.5861657833210687"/>
    <n v="16.700714285714287"/>
    <n v="17.142857142857142"/>
    <n v="378.22205882352944"/>
    <n v="9.9398666360798007"/>
  </r>
  <r>
    <d v="2025-01-03T00:00:00"/>
    <s v="AD003"/>
    <x v="3"/>
    <x v="3"/>
    <x v="2"/>
    <n v="234568"/>
    <n v="11507"/>
    <n v="2233"/>
    <n v="1415"/>
    <n v="677"/>
    <n v="228209.58"/>
    <x v="430"/>
    <x v="0"/>
    <n v="4.9056137239521158"/>
    <n v="19.832239506387417"/>
    <n v="19.405579212653169"/>
    <n v="337.08948301329394"/>
    <n v="13.65470678312453"/>
  </r>
  <r>
    <d v="2025-01-04T00:00:00"/>
    <s v="AD003"/>
    <x v="3"/>
    <x v="3"/>
    <x v="2"/>
    <n v="118873"/>
    <n v="6602"/>
    <n v="1257"/>
    <n v="706"/>
    <n v="337"/>
    <n v="88250.44"/>
    <x v="431"/>
    <x v="0"/>
    <n v="5.5538263524938385"/>
    <n v="13.367228112693123"/>
    <n v="19.039684943956377"/>
    <n v="261.87074183976262"/>
    <n v="17.120913618107739"/>
  </r>
  <r>
    <d v="2025-01-05T00:00:00"/>
    <s v="AD003"/>
    <x v="3"/>
    <x v="3"/>
    <x v="1"/>
    <n v="65935"/>
    <n v="3337"/>
    <n v="635"/>
    <n v="299"/>
    <n v="144"/>
    <n v="33688.76"/>
    <x v="432"/>
    <x v="3"/>
    <n v="5.0610449685296128"/>
    <n v="10.09552292478274"/>
    <n v="19.029068025172311"/>
    <n v="233.94972222222225"/>
    <n v="18.349645401018027"/>
  </r>
  <r>
    <d v="2025-01-06T00:00:00"/>
    <s v="AD003"/>
    <x v="3"/>
    <x v="3"/>
    <x v="2"/>
    <n v="98052"/>
    <n v="5653"/>
    <n v="1278"/>
    <n v="620"/>
    <n v="365"/>
    <n v="66527.789999999994"/>
    <x v="433"/>
    <x v="2"/>
    <n v="5.765308203810223"/>
    <n v="11.768581284273836"/>
    <n v="22.607465062798514"/>
    <n v="182.26791780821915"/>
    <n v="31.140914496032412"/>
  </r>
  <r>
    <d v="2025-01-07T00:00:00"/>
    <s v="AD003"/>
    <x v="3"/>
    <x v="3"/>
    <x v="1"/>
    <n v="131378"/>
    <n v="7546"/>
    <n v="1518"/>
    <n v="715"/>
    <n v="293"/>
    <n v="83251.47"/>
    <x v="434"/>
    <x v="3"/>
    <n v="5.7437318272465712"/>
    <n v="11.032529817121654"/>
    <n v="20.11661807580175"/>
    <n v="284.13470989761095"/>
    <n v="13.7176286496803"/>
  </r>
  <r>
    <d v="2025-01-08T00:00:00"/>
    <s v="AD003"/>
    <x v="3"/>
    <x v="3"/>
    <x v="1"/>
    <n v="262420"/>
    <n v="14446"/>
    <n v="3479"/>
    <n v="2040"/>
    <n v="966"/>
    <n v="119191.61"/>
    <x v="435"/>
    <x v="0"/>
    <n v="5.5049157838579372"/>
    <n v="8.2508382943375338"/>
    <n v="24.082791084037105"/>
    <n v="123.38675983436853"/>
    <n v="53.150627212771099"/>
  </r>
  <r>
    <d v="2025-01-09T00:00:00"/>
    <s v="AD003"/>
    <x v="3"/>
    <x v="3"/>
    <x v="2"/>
    <n v="153266"/>
    <n v="6717"/>
    <n v="1640"/>
    <n v="966"/>
    <n v="430"/>
    <n v="153149.87"/>
    <x v="436"/>
    <x v="3"/>
    <n v="4.3825766967233433"/>
    <n v="22.800337948488909"/>
    <n v="24.415661753759117"/>
    <n v="356.16248837209304"/>
    <n v="13.144935611110869"/>
  </r>
  <r>
    <d v="2025-01-10T00:00:00"/>
    <s v="AD003"/>
    <x v="3"/>
    <x v="3"/>
    <x v="1"/>
    <n v="70209"/>
    <n v="2239"/>
    <n v="511"/>
    <n v="331"/>
    <n v="185"/>
    <n v="54632.02"/>
    <x v="437"/>
    <x v="4"/>
    <n v="3.1890498369154954"/>
    <n v="24.400187583742742"/>
    <n v="22.822688700312639"/>
    <n v="295.30821621621618"/>
    <n v="21.471343911500984"/>
  </r>
  <r>
    <d v="2025-01-11T00:00:00"/>
    <s v="AD003"/>
    <x v="3"/>
    <x v="3"/>
    <x v="1"/>
    <n v="125823"/>
    <n v="6100"/>
    <n v="1244"/>
    <n v="598"/>
    <n v="263"/>
    <n v="78509.289999999994"/>
    <x v="438"/>
    <x v="4"/>
    <n v="4.8480802397018037"/>
    <n v="12.870375409836065"/>
    <n v="20.393442622950818"/>
    <n v="298.51441064638783"/>
    <n v="24.910592619039097"/>
  </r>
  <r>
    <d v="2025-01-12T00:00:00"/>
    <s v="AD003"/>
    <x v="3"/>
    <x v="3"/>
    <x v="2"/>
    <n v="203716"/>
    <n v="6420"/>
    <n v="1047"/>
    <n v="499"/>
    <n v="199"/>
    <n v="165278.22"/>
    <x v="439"/>
    <x v="0"/>
    <n v="3.151446130888099"/>
    <n v="25.744271028037382"/>
    <n v="16.308411214953271"/>
    <n v="830.54381909547737"/>
    <n v="5.087166476018437"/>
  </r>
  <r>
    <d v="2025-01-13T00:00:00"/>
    <s v="AD003"/>
    <x v="3"/>
    <x v="3"/>
    <x v="1"/>
    <n v="146482"/>
    <n v="4711"/>
    <n v="931"/>
    <n v="572"/>
    <n v="338"/>
    <n v="141930.1"/>
    <x v="440"/>
    <x v="1"/>
    <n v="3.2160948102838574"/>
    <n v="30.127382721290598"/>
    <n v="19.762258543833582"/>
    <n v="419.9115384615385"/>
    <n v="15.320019713929604"/>
  </r>
  <r>
    <d v="2025-01-14T00:00:00"/>
    <s v="AD003"/>
    <x v="3"/>
    <x v="3"/>
    <x v="1"/>
    <n v="266480"/>
    <n v="8507"/>
    <n v="1449"/>
    <n v="740"/>
    <n v="346"/>
    <n v="179057.44"/>
    <x v="441"/>
    <x v="3"/>
    <n v="3.1923596517562292"/>
    <n v="21.048247325731751"/>
    <n v="17.033031621017987"/>
    <n v="517.50705202312145"/>
    <n v="14.664331624533446"/>
  </r>
  <r>
    <d v="2025-01-15T00:00:00"/>
    <s v="AD003"/>
    <x v="3"/>
    <x v="3"/>
    <x v="1"/>
    <n v="119877"/>
    <n v="5157"/>
    <n v="853"/>
    <n v="489"/>
    <n v="196"/>
    <n v="55662.12"/>
    <x v="442"/>
    <x v="2"/>
    <n v="4.3019094571936236"/>
    <n v="10.793507853403142"/>
    <n v="16.540624394027535"/>
    <n v="283.99040816326533"/>
    <n v="10.813093895812807"/>
  </r>
  <r>
    <d v="2025-01-16T00:00:00"/>
    <s v="AD003"/>
    <x v="3"/>
    <x v="3"/>
    <x v="2"/>
    <n v="258617"/>
    <n v="11130"/>
    <n v="2706"/>
    <n v="1265"/>
    <n v="634"/>
    <n v="220388.72"/>
    <x v="443"/>
    <x v="2"/>
    <n v="4.3036613989026247"/>
    <n v="19.801322551662174"/>
    <n v="24.31266846361186"/>
    <n v="347.61627760252367"/>
    <n v="18.010122795758331"/>
  </r>
  <r>
    <d v="2025-01-17T00:00:00"/>
    <s v="AD003"/>
    <x v="3"/>
    <x v="3"/>
    <x v="2"/>
    <n v="286009"/>
    <n v="20719"/>
    <n v="3174"/>
    <n v="1988"/>
    <n v="1183"/>
    <n v="159981.23000000001"/>
    <x v="444"/>
    <x v="1"/>
    <n v="7.2441776307738568"/>
    <n v="7.7214744920121632"/>
    <n v="15.31927216564506"/>
    <n v="135.23349957734575"/>
    <n v="31.357220843970254"/>
  </r>
  <r>
    <d v="2025-01-18T00:00:00"/>
    <s v="AD003"/>
    <x v="3"/>
    <x v="3"/>
    <x v="1"/>
    <n v="143217"/>
    <n v="6695"/>
    <n v="1166"/>
    <n v="607"/>
    <n v="327"/>
    <n v="67853.55"/>
    <x v="445"/>
    <x v="4"/>
    <n v="4.6747243693136991"/>
    <n v="10.134958924570576"/>
    <n v="17.415982076176249"/>
    <n v="207.50321100917432"/>
    <n v="22.802647761244621"/>
  </r>
  <r>
    <d v="2025-01-19T00:00:00"/>
    <s v="AD003"/>
    <x v="3"/>
    <x v="3"/>
    <x v="1"/>
    <n v="72167"/>
    <n v="3593"/>
    <n v="602"/>
    <n v="351"/>
    <n v="197"/>
    <n v="70366.31"/>
    <x v="446"/>
    <x v="2"/>
    <n v="4.9787298903931161"/>
    <n v="19.584277762315612"/>
    <n v="16.754801001948234"/>
    <n v="357.18939086294415"/>
    <n v="16.122895317375601"/>
  </r>
  <r>
    <d v="2025-01-20T00:00:00"/>
    <s v="AD003"/>
    <x v="3"/>
    <x v="3"/>
    <x v="1"/>
    <n v="239490"/>
    <n v="16490"/>
    <n v="2821"/>
    <n v="1500"/>
    <n v="857"/>
    <n v="231252.5"/>
    <x v="447"/>
    <x v="3"/>
    <n v="6.8854649463443147"/>
    <n v="14.023802304426926"/>
    <n v="17.107337780473014"/>
    <n v="269.83955659276546"/>
    <n v="11.204509097198951"/>
  </r>
  <r>
    <d v="2025-01-21T00:00:00"/>
    <s v="AD003"/>
    <x v="3"/>
    <x v="3"/>
    <x v="1"/>
    <n v="114858"/>
    <n v="8995"/>
    <n v="2140"/>
    <n v="1042"/>
    <n v="585"/>
    <n v="109054.25"/>
    <x v="448"/>
    <x v="3"/>
    <n v="7.8314092183391661"/>
    <n v="12.123874374652585"/>
    <n v="23.790994997220675"/>
    <n v="186.41752136752137"/>
    <n v="34.313673882494264"/>
  </r>
  <r>
    <d v="2025-01-22T00:00:00"/>
    <s v="AD003"/>
    <x v="3"/>
    <x v="3"/>
    <x v="2"/>
    <n v="287469"/>
    <n v="15650"/>
    <n v="3709"/>
    <n v="1899"/>
    <n v="784"/>
    <n v="253282.64"/>
    <x v="449"/>
    <x v="0"/>
    <n v="5.4440652731251022"/>
    <n v="16.18419424920128"/>
    <n v="23.699680511182109"/>
    <n v="323.06459183673473"/>
    <n v="11.347106576273841"/>
  </r>
  <r>
    <d v="2025-01-23T00:00:00"/>
    <s v="AD003"/>
    <x v="3"/>
    <x v="3"/>
    <x v="1"/>
    <n v="160382"/>
    <n v="12822"/>
    <n v="2675"/>
    <n v="1467"/>
    <n v="670"/>
    <n v="98850.69"/>
    <x v="450"/>
    <x v="3"/>
    <n v="7.9946627427017996"/>
    <n v="7.7094595226953677"/>
    <n v="20.862579940726874"/>
    <n v="147.53834328358209"/>
    <n v="30.470008858815248"/>
  </r>
  <r>
    <d v="2025-01-24T00:00:00"/>
    <s v="AD003"/>
    <x v="3"/>
    <x v="3"/>
    <x v="1"/>
    <n v="87341"/>
    <n v="6016"/>
    <n v="1290"/>
    <n v="669"/>
    <n v="315"/>
    <n v="35138.720000000001"/>
    <x v="451"/>
    <x v="2"/>
    <n v="6.8879449513973974"/>
    <n v="5.8408776595744687"/>
    <n v="21.44281914893617"/>
    <n v="111.55149206349206"/>
    <n v="59.540282343807625"/>
  </r>
  <r>
    <d v="2025-01-25T00:00:00"/>
    <s v="AD003"/>
    <x v="3"/>
    <x v="3"/>
    <x v="1"/>
    <n v="184938"/>
    <n v="6118"/>
    <n v="1450"/>
    <n v="865"/>
    <n v="478"/>
    <n v="132226.89000000001"/>
    <x v="452"/>
    <x v="1"/>
    <n v="3.3081356995317348"/>
    <n v="21.612763975155282"/>
    <n v="23.700555737169012"/>
    <n v="276.62529288702933"/>
    <n v="10.889875274235067"/>
  </r>
  <r>
    <d v="2025-01-26T00:00:00"/>
    <s v="AD003"/>
    <x v="3"/>
    <x v="3"/>
    <x v="1"/>
    <n v="63670"/>
    <n v="3261"/>
    <n v="779"/>
    <n v="463"/>
    <n v="260"/>
    <n v="57921.04"/>
    <x v="453"/>
    <x v="1"/>
    <n v="5.1217213758441966"/>
    <n v="17.761741796994787"/>
    <n v="23.888377798221406"/>
    <n v="222.77323076923076"/>
    <n v="31.257224663093066"/>
  </r>
  <r>
    <d v="2025-01-27T00:00:00"/>
    <s v="AD003"/>
    <x v="3"/>
    <x v="3"/>
    <x v="0"/>
    <n v="182711"/>
    <n v="13431"/>
    <n v="2341"/>
    <n v="1427"/>
    <n v="816"/>
    <n v="123017.03"/>
    <x v="454"/>
    <x v="1"/>
    <n v="7.3509531445835234"/>
    <n v="9.1591862110043927"/>
    <n v="17.42982652073561"/>
    <n v="150.75616421568628"/>
    <n v="43.545347989623878"/>
  </r>
  <r>
    <d v="2025-01-28T00:00:00"/>
    <s v="AD003"/>
    <x v="3"/>
    <x v="3"/>
    <x v="0"/>
    <n v="228212"/>
    <n v="18002"/>
    <n v="4371"/>
    <n v="2526"/>
    <n v="1404"/>
    <n v="140065.29999999999"/>
    <x v="455"/>
    <x v="4"/>
    <n v="7.888279319229488"/>
    <n v="7.7805410509943336"/>
    <n v="24.280635484946117"/>
    <n v="99.761609686609674"/>
    <n v="46.48328815202624"/>
  </r>
  <r>
    <d v="2025-01-29T00:00:00"/>
    <s v="AD003"/>
    <x v="3"/>
    <x v="3"/>
    <x v="2"/>
    <n v="258910"/>
    <n v="20306"/>
    <n v="3105"/>
    <n v="1415"/>
    <n v="615"/>
    <n v="196117.34"/>
    <x v="456"/>
    <x v="2"/>
    <n v="7.8428797651693642"/>
    <n v="9.6580980990840146"/>
    <n v="15.291046981187826"/>
    <n v="318.88998373983742"/>
    <n v="23.051415749367191"/>
  </r>
  <r>
    <d v="2025-01-30T00:00:00"/>
    <s v="AD003"/>
    <x v="3"/>
    <x v="3"/>
    <x v="0"/>
    <n v="90143"/>
    <n v="2803"/>
    <n v="540"/>
    <n v="314"/>
    <n v="175"/>
    <n v="40656.589999999997"/>
    <x v="457"/>
    <x v="3"/>
    <n v="3.1095037884250578"/>
    <n v="14.504669996432392"/>
    <n v="19.265073135925796"/>
    <n v="232.32337142857142"/>
    <n v="24.779479046324351"/>
  </r>
  <r>
    <d v="2025-01-31T00:00:00"/>
    <s v="AD003"/>
    <x v="3"/>
    <x v="3"/>
    <x v="1"/>
    <n v="85144"/>
    <n v="3382"/>
    <n v="587"/>
    <n v="296"/>
    <n v="155"/>
    <n v="42903.25"/>
    <x v="458"/>
    <x v="3"/>
    <n v="3.9720943343042374"/>
    <n v="12.685762862211709"/>
    <n v="17.356593731519812"/>
    <n v="276.7951612903226"/>
    <n v="13.165437350317285"/>
  </r>
  <r>
    <d v="2025-02-01T00:00:00"/>
    <s v="AD003"/>
    <x v="3"/>
    <x v="3"/>
    <x v="2"/>
    <n v="247492"/>
    <n v="18132"/>
    <n v="4384"/>
    <n v="2710"/>
    <n v="1613"/>
    <n v="189072.19"/>
    <x v="459"/>
    <x v="2"/>
    <n v="7.3262974156740421"/>
    <n v="10.42754191484668"/>
    <n v="24.17824840061769"/>
    <n v="117.21772473651581"/>
    <n v="33.679212527236288"/>
  </r>
  <r>
    <d v="2025-02-02T00:00:00"/>
    <s v="AD003"/>
    <x v="3"/>
    <x v="3"/>
    <x v="2"/>
    <n v="131901"/>
    <n v="8460"/>
    <n v="1385"/>
    <n v="816"/>
    <n v="412"/>
    <n v="123943.03"/>
    <x v="460"/>
    <x v="2"/>
    <n v="6.4139013350922287"/>
    <n v="14.650476359338061"/>
    <n v="16.371158392434985"/>
    <n v="300.83259708737864"/>
    <n v="20.466048474044889"/>
  </r>
  <r>
    <d v="2025-02-03T00:00:00"/>
    <s v="AD003"/>
    <x v="3"/>
    <x v="3"/>
    <x v="2"/>
    <n v="228466"/>
    <n v="8425"/>
    <n v="1286"/>
    <n v="782"/>
    <n v="385"/>
    <n v="169210.25"/>
    <x v="461"/>
    <x v="2"/>
    <n v="3.6876384232227117"/>
    <n v="20.084302670623146"/>
    <n v="15.264094955489615"/>
    <n v="439.50714285714287"/>
    <n v="7.0604940303557262"/>
  </r>
  <r>
    <d v="2025-02-04T00:00:00"/>
    <s v="AD003"/>
    <x v="3"/>
    <x v="3"/>
    <x v="0"/>
    <n v="224736"/>
    <n v="14914"/>
    <n v="3722"/>
    <n v="2167"/>
    <n v="1264"/>
    <n v="217968.09"/>
    <x v="462"/>
    <x v="0"/>
    <n v="6.6362309554321515"/>
    <n v="14.614998658978141"/>
    <n v="24.956416789593671"/>
    <n v="172.44310917721518"/>
    <n v="18.155471289398371"/>
  </r>
  <r>
    <d v="2025-02-05T00:00:00"/>
    <s v="AD003"/>
    <x v="3"/>
    <x v="3"/>
    <x v="2"/>
    <n v="169022"/>
    <n v="13204"/>
    <n v="3261"/>
    <n v="1590"/>
    <n v="892"/>
    <n v="147597.12"/>
    <x v="463"/>
    <x v="0"/>
    <n v="7.8120008046289842"/>
    <n v="11.178212662829445"/>
    <n v="24.697061496516206"/>
    <n v="165.46762331838565"/>
    <n v="18.479879959717373"/>
  </r>
  <r>
    <d v="2025-02-06T00:00:00"/>
    <s v="AD003"/>
    <x v="3"/>
    <x v="3"/>
    <x v="0"/>
    <n v="171440"/>
    <n v="12089"/>
    <n v="2871"/>
    <n v="1782"/>
    <n v="734"/>
    <n v="118811.98"/>
    <x v="464"/>
    <x v="1"/>
    <n v="7.0514465702286522"/>
    <n v="9.8281065431383894"/>
    <n v="23.748862602365787"/>
    <n v="161.86918256130789"/>
    <n v="22.569552329655647"/>
  </r>
  <r>
    <d v="2025-02-07T00:00:00"/>
    <s v="AD003"/>
    <x v="3"/>
    <x v="3"/>
    <x v="2"/>
    <n v="157459"/>
    <n v="9897"/>
    <n v="2312"/>
    <n v="1209"/>
    <n v="650"/>
    <n v="142696.95000000001"/>
    <x v="465"/>
    <x v="1"/>
    <n v="6.2854457350802431"/>
    <n v="14.418202485601698"/>
    <n v="23.360614327574012"/>
    <n v="219.53376923076925"/>
    <n v="19.799808335076534"/>
  </r>
  <r>
    <d v="2025-02-08T00:00:00"/>
    <s v="AD003"/>
    <x v="3"/>
    <x v="3"/>
    <x v="1"/>
    <n v="65423"/>
    <n v="3275"/>
    <n v="709"/>
    <n v="417"/>
    <n v="179"/>
    <n v="31628.240000000002"/>
    <x v="466"/>
    <x v="3"/>
    <n v="5.005884780581753"/>
    <n v="9.657477862595421"/>
    <n v="21.648854961832061"/>
    <n v="176.69407821229052"/>
    <n v="20.324586192592442"/>
  </r>
  <r>
    <d v="2025-02-09T00:00:00"/>
    <s v="AD003"/>
    <x v="3"/>
    <x v="3"/>
    <x v="2"/>
    <n v="194699"/>
    <n v="6867"/>
    <n v="1321"/>
    <n v="634"/>
    <n v="310"/>
    <n v="138099.75"/>
    <x v="467"/>
    <x v="2"/>
    <n v="3.5269826758226799"/>
    <n v="20.110637833114897"/>
    <n v="19.23693024610456"/>
    <n v="445.48306451612905"/>
    <n v="16.300180992362403"/>
  </r>
  <r>
    <d v="2025-02-10T00:00:00"/>
    <s v="AD003"/>
    <x v="3"/>
    <x v="3"/>
    <x v="0"/>
    <n v="258921"/>
    <n v="15451"/>
    <n v="3155"/>
    <n v="1580"/>
    <n v="846"/>
    <n v="123848.52"/>
    <x v="468"/>
    <x v="4"/>
    <n v="5.9674572553018095"/>
    <n v="8.0155666299915858"/>
    <n v="20.41939033072293"/>
    <n v="146.39304964539008"/>
    <n v="24.143338894966206"/>
  </r>
  <r>
    <d v="2025-02-11T00:00:00"/>
    <s v="AD003"/>
    <x v="3"/>
    <x v="3"/>
    <x v="1"/>
    <n v="127232"/>
    <n v="9034"/>
    <n v="1736"/>
    <n v="1112"/>
    <n v="517"/>
    <n v="111616.5"/>
    <x v="469"/>
    <x v="2"/>
    <n v="7.1004149899396376"/>
    <n v="12.355158290901041"/>
    <n v="19.216294000442772"/>
    <n v="215.8926499032882"/>
    <n v="30.173902156043237"/>
  </r>
  <r>
    <d v="2025-02-12T00:00:00"/>
    <s v="AD003"/>
    <x v="3"/>
    <x v="3"/>
    <x v="0"/>
    <n v="183701"/>
    <n v="10838"/>
    <n v="1745"/>
    <n v="807"/>
    <n v="469"/>
    <n v="163799.75"/>
    <x v="470"/>
    <x v="3"/>
    <n v="5.8998045737366702"/>
    <n v="15.113466506735561"/>
    <n v="16.100756597158146"/>
    <n v="349.25319829424308"/>
    <n v="18.184722321004763"/>
  </r>
  <r>
    <d v="2025-02-13T00:00:00"/>
    <s v="AD003"/>
    <x v="3"/>
    <x v="3"/>
    <x v="0"/>
    <n v="61637"/>
    <n v="4452"/>
    <n v="790"/>
    <n v="460"/>
    <n v="264"/>
    <n v="35763.230000000003"/>
    <x v="471"/>
    <x v="4"/>
    <n v="7.2229342764897702"/>
    <n v="8.0330705300988328"/>
    <n v="17.744833782569632"/>
    <n v="135.4667803030303"/>
    <n v="51.369185333651345"/>
  </r>
  <r>
    <d v="2025-02-14T00:00:00"/>
    <s v="AD003"/>
    <x v="3"/>
    <x v="3"/>
    <x v="0"/>
    <n v="115475"/>
    <n v="6434"/>
    <n v="1594"/>
    <n v="911"/>
    <n v="456"/>
    <n v="55074.85"/>
    <x v="472"/>
    <x v="2"/>
    <n v="5.5717687811214551"/>
    <n v="8.5599704693814118"/>
    <n v="24.77463475287535"/>
    <n v="120.77817982456141"/>
    <n v="27.906426617594057"/>
  </r>
  <r>
    <d v="2025-02-15T00:00:00"/>
    <s v="AD003"/>
    <x v="3"/>
    <x v="3"/>
    <x v="0"/>
    <n v="242487"/>
    <n v="10557"/>
    <n v="1644"/>
    <n v="940"/>
    <n v="476"/>
    <n v="137455.20000000001"/>
    <x v="473"/>
    <x v="1"/>
    <n v="4.3536354526222025"/>
    <n v="13.020289855072464"/>
    <n v="15.572605853935778"/>
    <n v="288.7714285714286"/>
    <n v="19.337705230504191"/>
  </r>
  <r>
    <d v="2025-02-16T00:00:00"/>
    <s v="AD003"/>
    <x v="3"/>
    <x v="3"/>
    <x v="2"/>
    <n v="236585"/>
    <n v="7923"/>
    <n v="1495"/>
    <n v="848"/>
    <n v="467"/>
    <n v="129801.04"/>
    <x v="474"/>
    <x v="2"/>
    <n v="3.3489020859310612"/>
    <n v="16.382814590432915"/>
    <n v="18.869115234128486"/>
    <n v="277.94655246252677"/>
    <n v="23.757097246678459"/>
  </r>
  <r>
    <d v="2025-02-17T00:00:00"/>
    <s v="AD003"/>
    <x v="3"/>
    <x v="3"/>
    <x v="1"/>
    <n v="109605"/>
    <n v="8284"/>
    <n v="1935"/>
    <n v="1132"/>
    <n v="663"/>
    <n v="61086.21"/>
    <x v="475"/>
    <x v="3"/>
    <n v="7.5580493590620872"/>
    <n v="7.3739992757122161"/>
    <n v="23.358281023660069"/>
    <n v="92.136063348416286"/>
    <n v="46.328537324545096"/>
  </r>
  <r>
    <d v="2025-02-18T00:00:00"/>
    <s v="AD003"/>
    <x v="3"/>
    <x v="3"/>
    <x v="0"/>
    <n v="59185"/>
    <n v="4390"/>
    <n v="1044"/>
    <n v="588"/>
    <n v="283"/>
    <n v="39767.599999999999"/>
    <x v="476"/>
    <x v="1"/>
    <n v="7.4174199543803336"/>
    <n v="9.0586788154897491"/>
    <n v="23.781321184510251"/>
    <n v="140.52155477031801"/>
    <n v="38.928506372021445"/>
  </r>
  <r>
    <d v="2025-02-19T00:00:00"/>
    <s v="AD003"/>
    <x v="3"/>
    <x v="3"/>
    <x v="0"/>
    <n v="183593"/>
    <n v="5650"/>
    <n v="1015"/>
    <n v="541"/>
    <n v="288"/>
    <n v="78874.38"/>
    <x v="477"/>
    <x v="3"/>
    <n v="3.077459380259596"/>
    <n v="13.960067256637169"/>
    <n v="17.964601769911503"/>
    <n v="273.86937499999999"/>
    <n v="10.999323481211515"/>
  </r>
  <r>
    <d v="2025-02-20T00:00:00"/>
    <s v="AD003"/>
    <x v="3"/>
    <x v="3"/>
    <x v="1"/>
    <n v="115658"/>
    <n v="6141"/>
    <n v="1182"/>
    <n v="685"/>
    <n v="302"/>
    <n v="81667.73"/>
    <x v="478"/>
    <x v="4"/>
    <n v="5.3096197409604171"/>
    <n v="13.298767301742387"/>
    <n v="19.247679531021006"/>
    <n v="270.42294701986754"/>
    <n v="24.879302877648247"/>
  </r>
  <r>
    <d v="2025-02-21T00:00:00"/>
    <s v="AD003"/>
    <x v="3"/>
    <x v="3"/>
    <x v="2"/>
    <n v="125536"/>
    <n v="6373"/>
    <n v="1242"/>
    <n v="763"/>
    <n v="414"/>
    <n v="81484.23"/>
    <x v="479"/>
    <x v="4"/>
    <n v="5.076631404537344"/>
    <n v="12.78585124745018"/>
    <n v="19.488466970029812"/>
    <n v="196.8218115942029"/>
    <n v="37.940722885888469"/>
  </r>
  <r>
    <d v="2025-02-22T00:00:00"/>
    <s v="AD003"/>
    <x v="3"/>
    <x v="3"/>
    <x v="2"/>
    <n v="279784"/>
    <n v="19574"/>
    <n v="4822"/>
    <n v="2939"/>
    <n v="1343"/>
    <n v="143229.35"/>
    <x v="480"/>
    <x v="1"/>
    <n v="6.9961112858490839"/>
    <n v="7.3173265556350264"/>
    <n v="24.634719525901708"/>
    <n v="106.64880863737901"/>
    <n v="46.313079965803098"/>
  </r>
  <r>
    <d v="2025-02-23T00:00:00"/>
    <s v="AD003"/>
    <x v="3"/>
    <x v="3"/>
    <x v="1"/>
    <n v="141610"/>
    <n v="8320"/>
    <n v="1667"/>
    <n v="1053"/>
    <n v="595"/>
    <n v="71547.48"/>
    <x v="481"/>
    <x v="4"/>
    <n v="5.8752912929877832"/>
    <n v="8.59945673076923"/>
    <n v="20.036057692307693"/>
    <n v="120.24786554621848"/>
    <n v="60.062769785882054"/>
  </r>
  <r>
    <d v="2025-02-24T00:00:00"/>
    <s v="AD003"/>
    <x v="3"/>
    <x v="3"/>
    <x v="2"/>
    <n v="145064"/>
    <n v="7505"/>
    <n v="1364"/>
    <n v="661"/>
    <n v="346"/>
    <n v="74277.509999999995"/>
    <x v="482"/>
    <x v="4"/>
    <n v="5.1735785584293827"/>
    <n v="9.8970699533644222"/>
    <n v="18.174550299800131"/>
    <n v="214.67488439306356"/>
    <n v="15.912959925554857"/>
  </r>
  <r>
    <d v="2025-02-25T00:00:00"/>
    <s v="AD003"/>
    <x v="3"/>
    <x v="3"/>
    <x v="0"/>
    <n v="298028"/>
    <n v="20642"/>
    <n v="4696"/>
    <n v="2781"/>
    <n v="1630"/>
    <n v="284889.28000000003"/>
    <x v="483"/>
    <x v="2"/>
    <n v="6.926194854174776"/>
    <n v="13.801437845170042"/>
    <n v="22.749733552950296"/>
    <n v="174.77869938650309"/>
    <n v="40.63787844175814"/>
  </r>
  <r>
    <d v="2025-02-26T00:00:00"/>
    <s v="AD003"/>
    <x v="3"/>
    <x v="3"/>
    <x v="1"/>
    <n v="82925"/>
    <n v="5003"/>
    <n v="1088"/>
    <n v="544"/>
    <n v="317"/>
    <n v="49214.3"/>
    <x v="484"/>
    <x v="2"/>
    <n v="6.0331624962315349"/>
    <n v="9.8369578253048182"/>
    <n v="21.74695182890266"/>
    <n v="155.25015772870663"/>
    <n v="48.98448174615914"/>
  </r>
  <r>
    <d v="2025-02-27T00:00:00"/>
    <s v="AD003"/>
    <x v="3"/>
    <x v="3"/>
    <x v="1"/>
    <n v="113983"/>
    <n v="4651"/>
    <n v="940"/>
    <n v="445"/>
    <n v="184"/>
    <n v="79830.66"/>
    <x v="485"/>
    <x v="1"/>
    <n v="4.0804330470333294"/>
    <n v="17.164192646742638"/>
    <n v="20.210707374758115"/>
    <n v="433.86228260869569"/>
    <n v="8.6702427363120869"/>
  </r>
  <r>
    <d v="2025-02-28T00:00:00"/>
    <s v="AD003"/>
    <x v="3"/>
    <x v="3"/>
    <x v="2"/>
    <n v="103093"/>
    <n v="3235"/>
    <n v="665"/>
    <n v="347"/>
    <n v="181"/>
    <n v="70779.600000000006"/>
    <x v="486"/>
    <x v="1"/>
    <n v="3.1379434103188384"/>
    <n v="21.879319938176199"/>
    <n v="20.556414219474497"/>
    <n v="391.0475138121547"/>
    <n v="17.781626626881188"/>
  </r>
  <r>
    <d v="2025-03-01T00:00:00"/>
    <s v="AD003"/>
    <x v="3"/>
    <x v="3"/>
    <x v="0"/>
    <n v="53653"/>
    <n v="2463"/>
    <n v="459"/>
    <n v="282"/>
    <n v="149"/>
    <n v="37104.879999999997"/>
    <x v="487"/>
    <x v="2"/>
    <n v="4.590610031125939"/>
    <n v="15.064912708079577"/>
    <n v="18.635809987819734"/>
    <n v="249.02604026845637"/>
    <n v="27.762358212720269"/>
  </r>
  <r>
    <d v="2025-03-02T00:00:00"/>
    <s v="AD003"/>
    <x v="3"/>
    <x v="3"/>
    <x v="0"/>
    <n v="231442"/>
    <n v="13709"/>
    <n v="2805"/>
    <n v="1555"/>
    <n v="749"/>
    <n v="207424.01"/>
    <x v="488"/>
    <x v="0"/>
    <n v="5.9232982777542542"/>
    <n v="15.130498942300679"/>
    <n v="20.461011014661899"/>
    <n v="276.93459279038717"/>
    <n v="19.4213056145236"/>
  </r>
  <r>
    <d v="2025-03-03T00:00:00"/>
    <s v="AD003"/>
    <x v="3"/>
    <x v="3"/>
    <x v="2"/>
    <n v="134246"/>
    <n v="8250"/>
    <n v="1329"/>
    <n v="727"/>
    <n v="429"/>
    <n v="78289.58"/>
    <x v="489"/>
    <x v="0"/>
    <n v="6.1454345008417386"/>
    <n v="9.4896460606060611"/>
    <n v="16.109090909090909"/>
    <n v="182.49319347319349"/>
    <n v="29.974857445907872"/>
  </r>
  <r>
    <d v="2025-03-04T00:00:00"/>
    <s v="AD003"/>
    <x v="3"/>
    <x v="3"/>
    <x v="0"/>
    <n v="131176"/>
    <n v="5409"/>
    <n v="1273"/>
    <n v="750"/>
    <n v="449"/>
    <n v="67190.070000000007"/>
    <x v="490"/>
    <x v="4"/>
    <n v="4.123467707507471"/>
    <n v="12.421902384914034"/>
    <n v="23.534849325198742"/>
    <n v="149.64380846325167"/>
    <n v="49.509117939600294"/>
  </r>
  <r>
    <d v="2025-03-05T00:00:00"/>
    <s v="AD003"/>
    <x v="3"/>
    <x v="3"/>
    <x v="2"/>
    <n v="75507"/>
    <n v="4191"/>
    <n v="800"/>
    <n v="373"/>
    <n v="220"/>
    <n v="68079.25"/>
    <x v="491"/>
    <x v="4"/>
    <n v="5.5504787635583455"/>
    <n v="16.244154139823433"/>
    <n v="19.088523025530897"/>
    <n v="309.45113636363635"/>
    <n v="24.289378041033061"/>
  </r>
  <r>
    <d v="2025-03-06T00:00:00"/>
    <s v="AD003"/>
    <x v="3"/>
    <x v="3"/>
    <x v="1"/>
    <n v="188977"/>
    <n v="11714"/>
    <n v="2647"/>
    <n v="1690"/>
    <n v="798"/>
    <n v="113365.21"/>
    <x v="492"/>
    <x v="2"/>
    <n v="6.1986379294834828"/>
    <n v="9.6777539696090162"/>
    <n v="22.596892607136759"/>
    <n v="142.06166666666667"/>
    <n v="44.368707031019476"/>
  </r>
  <r>
    <d v="2025-03-07T00:00:00"/>
    <s v="AD003"/>
    <x v="3"/>
    <x v="3"/>
    <x v="1"/>
    <n v="252677"/>
    <n v="9888"/>
    <n v="1997"/>
    <n v="964"/>
    <n v="578"/>
    <n v="105630.8"/>
    <x v="493"/>
    <x v="1"/>
    <n v="3.9132964219141435"/>
    <n v="10.682726537216828"/>
    <n v="20.196197411003237"/>
    <n v="182.7522491349481"/>
    <n v="35.033045854050144"/>
  </r>
  <r>
    <d v="2025-03-08T00:00:00"/>
    <s v="AD003"/>
    <x v="3"/>
    <x v="3"/>
    <x v="0"/>
    <n v="146366"/>
    <n v="8269"/>
    <n v="1633"/>
    <n v="979"/>
    <n v="429"/>
    <n v="108116.05"/>
    <x v="494"/>
    <x v="2"/>
    <n v="5.6495360944481643"/>
    <n v="13.07486394969162"/>
    <n v="19.748458096505018"/>
    <n v="252.01876456876457"/>
    <n v="24.280809556027993"/>
  </r>
  <r>
    <d v="2025-03-09T00:00:00"/>
    <s v="AD003"/>
    <x v="3"/>
    <x v="3"/>
    <x v="2"/>
    <n v="134757"/>
    <n v="6182"/>
    <n v="1265"/>
    <n v="682"/>
    <n v="294"/>
    <n v="74426.89"/>
    <x v="495"/>
    <x v="0"/>
    <n v="4.5875167894803237"/>
    <n v="12.03928987382724"/>
    <n v="20.462633451957295"/>
    <n v="253.15268707482994"/>
    <n v="18.388120073269217"/>
  </r>
  <r>
    <d v="2025-03-10T00:00:00"/>
    <s v="AD003"/>
    <x v="3"/>
    <x v="3"/>
    <x v="1"/>
    <n v="258417"/>
    <n v="18909"/>
    <n v="4020"/>
    <n v="2269"/>
    <n v="1059"/>
    <n v="140621.96"/>
    <x v="496"/>
    <x v="1"/>
    <n v="7.3172430606345555"/>
    <n v="7.4367740229520329"/>
    <n v="21.259717594796129"/>
    <n v="132.78749763928232"/>
    <n v="52.394131471357674"/>
  </r>
  <r>
    <d v="2025-03-11T00:00:00"/>
    <s v="AD003"/>
    <x v="3"/>
    <x v="3"/>
    <x v="1"/>
    <n v="209874"/>
    <n v="11904"/>
    <n v="2886"/>
    <n v="1634"/>
    <n v="908"/>
    <n v="156283.1"/>
    <x v="497"/>
    <x v="3"/>
    <n v="5.6719746133394322"/>
    <n v="13.12862063172043"/>
    <n v="24.243951612903224"/>
    <n v="172.11795154185023"/>
    <n v="31.646112215588246"/>
  </r>
  <r>
    <d v="2025-03-12T00:00:00"/>
    <s v="AD003"/>
    <x v="3"/>
    <x v="3"/>
    <x v="0"/>
    <n v="142999"/>
    <n v="4752"/>
    <n v="762"/>
    <n v="444"/>
    <n v="200"/>
    <n v="92318.66"/>
    <x v="498"/>
    <x v="3"/>
    <n v="3.3231001615395912"/>
    <n v="19.427327441077441"/>
    <n v="16.035353535353536"/>
    <n v="461.5933"/>
    <n v="8.6142217618843251"/>
  </r>
  <r>
    <d v="2025-03-13T00:00:00"/>
    <s v="AD003"/>
    <x v="3"/>
    <x v="3"/>
    <x v="0"/>
    <n v="250958"/>
    <n v="19914"/>
    <n v="4316"/>
    <n v="2505"/>
    <n v="1303"/>
    <n v="101670.82"/>
    <x v="499"/>
    <x v="3"/>
    <n v="7.9351923429418463"/>
    <n v="5.105494626895652"/>
    <n v="21.673194737370693"/>
    <n v="78.028257866462013"/>
    <n v="41.311699561388409"/>
  </r>
  <r>
    <d v="2025-03-14T00:00:00"/>
    <s v="AD003"/>
    <x v="3"/>
    <x v="3"/>
    <x v="1"/>
    <n v="286615"/>
    <n v="14860"/>
    <n v="3405"/>
    <n v="1582"/>
    <n v="809"/>
    <n v="174370.56"/>
    <x v="500"/>
    <x v="1"/>
    <n v="5.1846553739336745"/>
    <n v="11.73422341857335"/>
    <n v="22.913862718707943"/>
    <n v="215.53839307787391"/>
    <n v="34.733164646600898"/>
  </r>
  <r>
    <d v="2025-03-15T00:00:00"/>
    <s v="AD003"/>
    <x v="3"/>
    <x v="3"/>
    <x v="0"/>
    <n v="184520"/>
    <n v="9112"/>
    <n v="2248"/>
    <n v="1022"/>
    <n v="476"/>
    <n v="93561.23"/>
    <x v="501"/>
    <x v="1"/>
    <n v="4.9382180793409924"/>
    <n v="10.267913740122914"/>
    <n v="24.670763827919227"/>
    <n v="196.55720588235295"/>
    <n v="31.440935096727568"/>
  </r>
  <r>
    <d v="2025-03-16T00:00:00"/>
    <s v="AD003"/>
    <x v="3"/>
    <x v="3"/>
    <x v="1"/>
    <n v="143329"/>
    <n v="8242"/>
    <n v="2029"/>
    <n v="1135"/>
    <n v="533"/>
    <n v="135105.23000000001"/>
    <x v="502"/>
    <x v="3"/>
    <n v="5.7504064076355794"/>
    <n v="16.392287066246059"/>
    <n v="24.61781121087115"/>
    <n v="253.48073170731709"/>
    <n v="17.231365728773042"/>
  </r>
  <r>
    <d v="2025-03-17T00:00:00"/>
    <s v="AD003"/>
    <x v="3"/>
    <x v="3"/>
    <x v="0"/>
    <n v="265195"/>
    <n v="10327"/>
    <n v="2049"/>
    <n v="1182"/>
    <n v="589"/>
    <n v="179628.87"/>
    <x v="503"/>
    <x v="4"/>
    <n v="3.8941156507475627"/>
    <n v="17.39409993221652"/>
    <n v="19.841192989251478"/>
    <n v="304.97261460101868"/>
    <n v="26.185923231605255"/>
  </r>
  <r>
    <d v="2025-03-18T00:00:00"/>
    <s v="AD003"/>
    <x v="3"/>
    <x v="3"/>
    <x v="0"/>
    <n v="122661"/>
    <n v="9777"/>
    <n v="2435"/>
    <n v="1113"/>
    <n v="594"/>
    <n v="87088.41"/>
    <x v="504"/>
    <x v="4"/>
    <n v="7.9707486487147508"/>
    <n v="8.9074777539122429"/>
    <n v="24.905390201493301"/>
    <n v="146.61348484848486"/>
    <n v="52.246477688592542"/>
  </r>
  <r>
    <d v="2025-03-19T00:00:00"/>
    <s v="AD003"/>
    <x v="3"/>
    <x v="3"/>
    <x v="2"/>
    <n v="256063"/>
    <n v="19097"/>
    <n v="2939"/>
    <n v="1547"/>
    <n v="914"/>
    <n v="201254.06"/>
    <x v="505"/>
    <x v="2"/>
    <n v="7.4579302749713943"/>
    <n v="10.538517044561972"/>
    <n v="15.389851809184687"/>
    <n v="220.19043763676149"/>
    <n v="25.703210658209827"/>
  </r>
  <r>
    <d v="2025-03-20T00:00:00"/>
    <s v="AD003"/>
    <x v="3"/>
    <x v="3"/>
    <x v="1"/>
    <n v="107546"/>
    <n v="4153"/>
    <n v="907"/>
    <n v="465"/>
    <n v="194"/>
    <n v="97757.51"/>
    <x v="506"/>
    <x v="0"/>
    <n v="3.8616034069142504"/>
    <n v="23.53901035396099"/>
    <n v="21.839633999518419"/>
    <n v="503.90469072164944"/>
    <n v="6.1653248942204044"/>
  </r>
  <r>
    <d v="2025-03-21T00:00:00"/>
    <s v="AD003"/>
    <x v="3"/>
    <x v="3"/>
    <x v="2"/>
    <n v="171811"/>
    <n v="7500"/>
    <n v="1283"/>
    <n v="812"/>
    <n v="351"/>
    <n v="97292.61"/>
    <x v="507"/>
    <x v="3"/>
    <n v="4.3652618284044671"/>
    <n v="12.972348"/>
    <n v="17.106666666666666"/>
    <n v="277.18692307692305"/>
    <n v="25.545209548803346"/>
  </r>
  <r>
    <d v="2025-03-22T00:00:00"/>
    <s v="AD003"/>
    <x v="3"/>
    <x v="3"/>
    <x v="2"/>
    <n v="299755"/>
    <n v="10495"/>
    <n v="1933"/>
    <n v="948"/>
    <n v="547"/>
    <n v="136254.79"/>
    <x v="508"/>
    <x v="2"/>
    <n v="3.5011926406565363"/>
    <n v="12.98282896617437"/>
    <n v="18.418294425917104"/>
    <n v="249.09468007312617"/>
    <n v="27.02781120575651"/>
  </r>
  <r>
    <d v="2025-03-23T00:00:00"/>
    <s v="AD003"/>
    <x v="3"/>
    <x v="3"/>
    <x v="2"/>
    <n v="196757"/>
    <n v="9869"/>
    <n v="2126"/>
    <n v="1008"/>
    <n v="595"/>
    <n v="188439.06"/>
    <x v="509"/>
    <x v="1"/>
    <n v="5.0158317111970598"/>
    <n v="19.094037896443407"/>
    <n v="21.542202857432365"/>
    <n v="316.7043025210084"/>
    <n v="21.396896853550427"/>
  </r>
  <r>
    <d v="2025-03-24T00:00:00"/>
    <s v="AD003"/>
    <x v="3"/>
    <x v="3"/>
    <x v="1"/>
    <n v="99084"/>
    <n v="7882"/>
    <n v="1585"/>
    <n v="875"/>
    <n v="446"/>
    <n v="56260.32"/>
    <x v="510"/>
    <x v="3"/>
    <n v="7.9548665778531342"/>
    <n v="7.137822887591982"/>
    <n v="20.109109363105809"/>
    <n v="126.14421524663678"/>
    <n v="60.49074320942362"/>
  </r>
  <r>
    <d v="2025-03-25T00:00:00"/>
    <s v="AD003"/>
    <x v="3"/>
    <x v="3"/>
    <x v="1"/>
    <n v="151038"/>
    <n v="4667"/>
    <n v="856"/>
    <n v="417"/>
    <n v="238"/>
    <n v="81008.289999999994"/>
    <x v="511"/>
    <x v="3"/>
    <n v="3.0899508732901655"/>
    <n v="17.357679451467749"/>
    <n v="18.341547032354832"/>
    <n v="340.37096638655458"/>
    <n v="17.817935793978616"/>
  </r>
  <r>
    <d v="2025-03-26T00:00:00"/>
    <s v="AD003"/>
    <x v="3"/>
    <x v="3"/>
    <x v="1"/>
    <n v="261569"/>
    <n v="10863"/>
    <n v="2582"/>
    <n v="1521"/>
    <n v="869"/>
    <n v="245885.34"/>
    <x v="512"/>
    <x v="3"/>
    <n v="4.1530150744163112"/>
    <n v="22.635122894228115"/>
    <n v="23.768756328822612"/>
    <n v="282.95205983889525"/>
    <n v="14.996409627349072"/>
  </r>
  <r>
    <d v="2025-03-27T00:00:00"/>
    <s v="AD003"/>
    <x v="3"/>
    <x v="3"/>
    <x v="1"/>
    <n v="242681"/>
    <n v="16801"/>
    <n v="3043"/>
    <n v="1834"/>
    <n v="1029"/>
    <n v="237908.01"/>
    <x v="513"/>
    <x v="3"/>
    <n v="6.9230800927967167"/>
    <n v="14.160348193559908"/>
    <n v="18.112017141836795"/>
    <n v="231.20311953352771"/>
    <n v="32.307748150219908"/>
  </r>
  <r>
    <d v="2025-03-28T00:00:00"/>
    <s v="AD003"/>
    <x v="3"/>
    <x v="3"/>
    <x v="0"/>
    <n v="141344"/>
    <n v="6626"/>
    <n v="1362"/>
    <n v="827"/>
    <n v="451"/>
    <n v="134141.85"/>
    <x v="514"/>
    <x v="4"/>
    <n v="4.6878537468870274"/>
    <n v="20.244770600664051"/>
    <n v="20.555387865982492"/>
    <n v="297.43203991130821"/>
    <n v="13.671587129594529"/>
  </r>
  <r>
    <d v="2025-03-29T00:00:00"/>
    <s v="AD003"/>
    <x v="3"/>
    <x v="3"/>
    <x v="1"/>
    <n v="229820"/>
    <n v="11047"/>
    <n v="2019"/>
    <n v="1120"/>
    <n v="565"/>
    <n v="204934.93"/>
    <x v="515"/>
    <x v="2"/>
    <n v="4.8068053259072316"/>
    <n v="18.551184031863855"/>
    <n v="18.276455146193538"/>
    <n v="362.7166902654867"/>
    <n v="10.041601546403045"/>
  </r>
  <r>
    <d v="2025-03-30T00:00:00"/>
    <s v="AD003"/>
    <x v="3"/>
    <x v="3"/>
    <x v="2"/>
    <n v="67576"/>
    <n v="2896"/>
    <n v="633"/>
    <n v="348"/>
    <n v="156"/>
    <n v="59665.14"/>
    <x v="516"/>
    <x v="1"/>
    <n v="4.2855451639635378"/>
    <n v="20.602603591160221"/>
    <n v="21.857734806629832"/>
    <n v="382.46884615384613"/>
    <n v="12.762085700293337"/>
  </r>
  <r>
    <d v="2025-03-31T00:00:00"/>
    <s v="AD003"/>
    <x v="3"/>
    <x v="3"/>
    <x v="1"/>
    <n v="203412"/>
    <n v="13404"/>
    <n v="3282"/>
    <n v="1607"/>
    <n v="645"/>
    <n v="201828.55"/>
    <x v="517"/>
    <x v="1"/>
    <n v="6.5895817355908202"/>
    <n v="15.057337361981498"/>
    <n v="24.485228290062668"/>
    <n v="312.91248062015501"/>
    <n v="11.837787864997297"/>
  </r>
  <r>
    <d v="2025-04-01T00:00:00"/>
    <s v="AD003"/>
    <x v="3"/>
    <x v="3"/>
    <x v="1"/>
    <n v="188004"/>
    <n v="6449"/>
    <n v="1209"/>
    <n v="590"/>
    <n v="328"/>
    <n v="130079.38"/>
    <x v="518"/>
    <x v="0"/>
    <n v="3.4302461649752134"/>
    <n v="20.170472941541323"/>
    <n v="18.747092572491859"/>
    <n v="396.58347560975614"/>
    <n v="11.225729089422165"/>
  </r>
  <r>
    <d v="2025-04-02T00:00:00"/>
    <s v="AD003"/>
    <x v="3"/>
    <x v="3"/>
    <x v="1"/>
    <n v="126338"/>
    <n v="5512"/>
    <n v="1277"/>
    <n v="670"/>
    <n v="387"/>
    <n v="68197.679999999993"/>
    <x v="519"/>
    <x v="3"/>
    <n v="4.3628995235004515"/>
    <n v="12.372583454281566"/>
    <n v="23.167634252539912"/>
    <n v="176.22139534883718"/>
    <n v="25.997323809255683"/>
  </r>
  <r>
    <d v="2025-04-03T00:00:00"/>
    <s v="AD003"/>
    <x v="3"/>
    <x v="3"/>
    <x v="1"/>
    <n v="183191"/>
    <n v="6099"/>
    <n v="1415"/>
    <n v="770"/>
    <n v="397"/>
    <n v="74337.41"/>
    <x v="520"/>
    <x v="1"/>
    <n v="3.3293120295211009"/>
    <n v="12.188458763731759"/>
    <n v="23.200524676176425"/>
    <n v="187.24788413098238"/>
    <n v="19.747276505866964"/>
  </r>
  <r>
    <d v="2025-04-04T00:00:00"/>
    <s v="AD003"/>
    <x v="3"/>
    <x v="3"/>
    <x v="1"/>
    <n v="84849"/>
    <n v="3217"/>
    <n v="556"/>
    <n v="340"/>
    <n v="176"/>
    <n v="58482.3"/>
    <x v="521"/>
    <x v="3"/>
    <n v="3.7914412662494548"/>
    <n v="18.179142057817845"/>
    <n v="17.283183089835248"/>
    <n v="332.28579545454545"/>
    <n v="23.586666222087707"/>
  </r>
  <r>
    <d v="2025-04-05T00:00:00"/>
    <s v="AD003"/>
    <x v="3"/>
    <x v="3"/>
    <x v="2"/>
    <n v="197504"/>
    <n v="8509"/>
    <n v="1516"/>
    <n v="789"/>
    <n v="455"/>
    <n v="104867.15"/>
    <x v="522"/>
    <x v="3"/>
    <n v="4.3082671743357093"/>
    <n v="12.324262545540016"/>
    <n v="17.816429662710071"/>
    <n v="230.47725274725275"/>
    <n v="31.518246181001391"/>
  </r>
  <r>
    <d v="2025-04-06T00:00:00"/>
    <s v="AD003"/>
    <x v="3"/>
    <x v="3"/>
    <x v="2"/>
    <n v="69154"/>
    <n v="4707"/>
    <n v="1042"/>
    <n v="628"/>
    <n v="284"/>
    <n v="35916.58"/>
    <x v="523"/>
    <x v="0"/>
    <n v="6.8065477051219014"/>
    <n v="7.6304610155088168"/>
    <n v="22.137242404928831"/>
    <n v="126.46683098591549"/>
    <n v="34.922314429714632"/>
  </r>
  <r>
    <d v="2025-04-07T00:00:00"/>
    <s v="AD003"/>
    <x v="3"/>
    <x v="3"/>
    <x v="1"/>
    <n v="289761"/>
    <n v="22640"/>
    <n v="4750"/>
    <n v="2972"/>
    <n v="1259"/>
    <n v="178162.37"/>
    <x v="524"/>
    <x v="3"/>
    <n v="7.8133358181397767"/>
    <n v="7.8693626325088335"/>
    <n v="20.980565371024735"/>
    <n v="141.51101667990469"/>
    <n v="26.943812826468349"/>
  </r>
  <r>
    <d v="2025-04-08T00:00:00"/>
    <s v="AD003"/>
    <x v="3"/>
    <x v="3"/>
    <x v="1"/>
    <n v="110803"/>
    <n v="4456"/>
    <n v="876"/>
    <n v="468"/>
    <n v="219"/>
    <n v="101061.77"/>
    <x v="525"/>
    <x v="1"/>
    <n v="4.0215517630389064"/>
    <n v="22.679930430879715"/>
    <n v="19.658886894075405"/>
    <n v="461.4692694063927"/>
    <n v="9.41961703223682"/>
  </r>
  <r>
    <d v="2025-04-09T00:00:00"/>
    <s v="AD003"/>
    <x v="3"/>
    <x v="3"/>
    <x v="1"/>
    <n v="239425"/>
    <n v="15902"/>
    <n v="2926"/>
    <n v="1870"/>
    <n v="851"/>
    <n v="148342.78"/>
    <x v="526"/>
    <x v="1"/>
    <n v="6.6417458494309285"/>
    <n v="9.328561187272042"/>
    <n v="18.400201232549364"/>
    <n v="174.31584018801411"/>
    <n v="39.587154022595506"/>
  </r>
  <r>
    <d v="2025-04-10T00:00:00"/>
    <s v="AD003"/>
    <x v="3"/>
    <x v="3"/>
    <x v="0"/>
    <n v="70240"/>
    <n v="5540"/>
    <n v="925"/>
    <n v="577"/>
    <n v="307"/>
    <n v="40196.1"/>
    <x v="527"/>
    <x v="4"/>
    <n v="7.8872437357630982"/>
    <n v="7.2556137184115519"/>
    <n v="16.696750902527079"/>
    <n v="130.93192182410422"/>
    <n v="41.35904403661052"/>
  </r>
  <r>
    <d v="2025-04-11T00:00:00"/>
    <s v="AD003"/>
    <x v="3"/>
    <x v="3"/>
    <x v="2"/>
    <n v="138678"/>
    <n v="6834"/>
    <n v="1173"/>
    <n v="590"/>
    <n v="294"/>
    <n v="98499.51"/>
    <x v="528"/>
    <x v="2"/>
    <n v="4.9279626184398388"/>
    <n v="14.413156277436347"/>
    <n v="17.164179104477611"/>
    <n v="335.0323469387755"/>
    <n v="11.748972659863995"/>
  </r>
  <r>
    <d v="2025-04-12T00:00:00"/>
    <s v="AD003"/>
    <x v="3"/>
    <x v="3"/>
    <x v="1"/>
    <n v="263247"/>
    <n v="19300"/>
    <n v="3627"/>
    <n v="2251"/>
    <n v="1126"/>
    <n v="214028.74"/>
    <x v="529"/>
    <x v="0"/>
    <n v="7.3315175481581933"/>
    <n v="11.089572020725388"/>
    <n v="18.792746113989637"/>
    <n v="190.07880994671402"/>
    <n v="39.80070302707945"/>
  </r>
  <r>
    <d v="2025-04-13T00:00:00"/>
    <s v="AD003"/>
    <x v="3"/>
    <x v="3"/>
    <x v="0"/>
    <n v="171458"/>
    <n v="10003"/>
    <n v="1964"/>
    <n v="1248"/>
    <n v="648"/>
    <n v="93164.51"/>
    <x v="530"/>
    <x v="2"/>
    <n v="5.8340818159549279"/>
    <n v="9.3136569029291199"/>
    <n v="19.63410976706988"/>
    <n v="143.77239197530864"/>
    <n v="51.286126122490202"/>
  </r>
  <r>
    <d v="2025-04-14T00:00:00"/>
    <s v="AD003"/>
    <x v="3"/>
    <x v="3"/>
    <x v="1"/>
    <n v="172696"/>
    <n v="13622"/>
    <n v="2087"/>
    <n v="1215"/>
    <n v="682"/>
    <n v="172286.34"/>
    <x v="531"/>
    <x v="1"/>
    <n v="7.8878491684810301"/>
    <n v="12.647653795331081"/>
    <n v="15.320804580825136"/>
    <n v="252.61926686217009"/>
    <n v="25.424037100097429"/>
  </r>
  <r>
    <d v="2025-04-15T00:00:00"/>
    <s v="AD003"/>
    <x v="3"/>
    <x v="3"/>
    <x v="0"/>
    <n v="254916"/>
    <n v="18774"/>
    <n v="2891"/>
    <n v="1575"/>
    <n v="935"/>
    <n v="166572.54999999999"/>
    <x v="532"/>
    <x v="3"/>
    <n v="7.3647789860189246"/>
    <n v="8.8725125173111739"/>
    <n v="15.39895600298285"/>
    <n v="178.1524598930481"/>
    <n v="34.938598466554069"/>
  </r>
  <r>
    <d v="2025-04-16T00:00:00"/>
    <s v="AD003"/>
    <x v="3"/>
    <x v="3"/>
    <x v="0"/>
    <n v="297311"/>
    <n v="12824"/>
    <n v="2266"/>
    <n v="1065"/>
    <n v="566"/>
    <n v="177196.19"/>
    <x v="533"/>
    <x v="4"/>
    <n v="4.3133284674969987"/>
    <n v="13.817544447910169"/>
    <n v="17.669993761696816"/>
    <n v="313.0674734982332"/>
    <n v="25.143434856020324"/>
  </r>
  <r>
    <d v="2025-04-17T00:00:00"/>
    <s v="AD003"/>
    <x v="3"/>
    <x v="3"/>
    <x v="1"/>
    <n v="187876"/>
    <n v="14537"/>
    <n v="3326"/>
    <n v="1964"/>
    <n v="1057"/>
    <n v="100656.39"/>
    <x v="534"/>
    <x v="3"/>
    <n v="7.7375502991334706"/>
    <n v="6.9241514755451607"/>
    <n v="22.879548737703789"/>
    <n v="95.228372753074737"/>
    <n v="44.491688605164562"/>
  </r>
  <r>
    <d v="2025-04-18T00:00:00"/>
    <s v="AD003"/>
    <x v="3"/>
    <x v="3"/>
    <x v="0"/>
    <n v="286470"/>
    <n v="17503"/>
    <n v="2821"/>
    <n v="1744"/>
    <n v="734"/>
    <n v="214086.95"/>
    <x v="535"/>
    <x v="4"/>
    <n v="6.1098893426885885"/>
    <n v="12.231443181168943"/>
    <n v="16.117237045077985"/>
    <n v="291.67159400544961"/>
    <n v="11.046580186228072"/>
  </r>
  <r>
    <d v="2025-04-19T00:00:00"/>
    <s v="AD003"/>
    <x v="3"/>
    <x v="3"/>
    <x v="1"/>
    <n v="162404"/>
    <n v="11970"/>
    <n v="2624"/>
    <n v="1217"/>
    <n v="633"/>
    <n v="107823.72"/>
    <x v="536"/>
    <x v="3"/>
    <n v="7.3705081155636565"/>
    <n v="9.0078295739348366"/>
    <n v="21.921470342522976"/>
    <n v="170.33763033175356"/>
    <n v="43.881519947558843"/>
  </r>
  <r>
    <d v="2025-04-20T00:00:00"/>
    <s v="AD003"/>
    <x v="3"/>
    <x v="3"/>
    <x v="2"/>
    <n v="70773"/>
    <n v="2354"/>
    <n v="502"/>
    <n v="320"/>
    <n v="137"/>
    <n v="37944.949999999997"/>
    <x v="537"/>
    <x v="4"/>
    <n v="3.3261271953993754"/>
    <n v="16.119350042480882"/>
    <n v="21.325403568394222"/>
    <n v="276.97043795620436"/>
    <n v="16.900711161827861"/>
  </r>
  <r>
    <d v="2025-04-21T00:00:00"/>
    <s v="AD003"/>
    <x v="3"/>
    <x v="3"/>
    <x v="2"/>
    <n v="92159"/>
    <n v="7283"/>
    <n v="1706"/>
    <n v="985"/>
    <n v="420"/>
    <n v="83018.34"/>
    <x v="538"/>
    <x v="0"/>
    <n v="7.9026465130915042"/>
    <n v="11.39892077440615"/>
    <n v="23.424413016614032"/>
    <n v="197.66271428571429"/>
    <n v="38.015536446524948"/>
  </r>
  <r>
    <d v="2025-04-22T00:00:00"/>
    <s v="AD003"/>
    <x v="3"/>
    <x v="3"/>
    <x v="0"/>
    <n v="214210"/>
    <n v="12044"/>
    <n v="2322"/>
    <n v="1116"/>
    <n v="510"/>
    <n v="92410"/>
    <x v="539"/>
    <x v="2"/>
    <n v="5.6225199570514919"/>
    <n v="7.6727000996346728"/>
    <n v="19.27930919960146"/>
    <n v="181.19607843137254"/>
    <n v="43.794746023157664"/>
  </r>
  <r>
    <d v="2025-04-23T00:00:00"/>
    <s v="AD003"/>
    <x v="3"/>
    <x v="3"/>
    <x v="0"/>
    <n v="89597"/>
    <n v="3957"/>
    <n v="914"/>
    <n v="497"/>
    <n v="220"/>
    <n v="56902.12"/>
    <x v="540"/>
    <x v="2"/>
    <n v="4.4164425148163442"/>
    <n v="14.380116249684106"/>
    <n v="23.098306798079353"/>
    <n v="258.64600000000002"/>
    <n v="16.126171221740066"/>
  </r>
  <r>
    <d v="2025-04-24T00:00:00"/>
    <s v="AD003"/>
    <x v="3"/>
    <x v="3"/>
    <x v="1"/>
    <n v="219815"/>
    <n v="15931"/>
    <n v="2530"/>
    <n v="1544"/>
    <n v="888"/>
    <n v="106057.04"/>
    <x v="541"/>
    <x v="3"/>
    <n v="7.2474580897572958"/>
    <n v="6.6572744962651429"/>
    <n v="15.880986755382587"/>
    <n v="119.4336036036036"/>
    <n v="58.127811883114973"/>
  </r>
  <r>
    <d v="2025-04-25T00:00:00"/>
    <s v="AD003"/>
    <x v="3"/>
    <x v="3"/>
    <x v="0"/>
    <n v="155800"/>
    <n v="6865"/>
    <n v="1272"/>
    <n v="765"/>
    <n v="363"/>
    <n v="69361.47"/>
    <x v="542"/>
    <x v="2"/>
    <n v="4.4062901155327339"/>
    <n v="10.103637290604516"/>
    <n v="18.528769118718134"/>
    <n v="191.07842975206611"/>
    <n v="26.41080501898244"/>
  </r>
  <r>
    <d v="2025-04-26T00:00:00"/>
    <s v="AD003"/>
    <x v="3"/>
    <x v="3"/>
    <x v="2"/>
    <n v="78865"/>
    <n v="2545"/>
    <n v="595"/>
    <n v="378"/>
    <n v="152"/>
    <n v="70156.08"/>
    <x v="543"/>
    <x v="3"/>
    <n v="3.227033538324986"/>
    <n v="27.566239685658154"/>
    <n v="23.379174852652259"/>
    <n v="461.55315789473684"/>
    <n v="16.194018679492928"/>
  </r>
  <r>
    <d v="2025-04-27T00:00:00"/>
    <s v="AD003"/>
    <x v="3"/>
    <x v="3"/>
    <x v="2"/>
    <n v="106441"/>
    <n v="7731"/>
    <n v="1827"/>
    <n v="1072"/>
    <n v="449"/>
    <n v="93059.67"/>
    <x v="544"/>
    <x v="3"/>
    <n v="7.2631786623575501"/>
    <n v="12.03720993403182"/>
    <n v="23.632130384167638"/>
    <n v="207.25984409799554"/>
    <n v="17.479793556112977"/>
  </r>
  <r>
    <d v="2025-04-28T00:00:00"/>
    <s v="AD003"/>
    <x v="3"/>
    <x v="3"/>
    <x v="1"/>
    <n v="108582"/>
    <n v="6075"/>
    <n v="1445"/>
    <n v="861"/>
    <n v="472"/>
    <n v="61991.73"/>
    <x v="545"/>
    <x v="4"/>
    <n v="5.5948499751340002"/>
    <n v="10.2044"/>
    <n v="23.786008230452673"/>
    <n v="131.33841101694915"/>
    <n v="46.190507508017603"/>
  </r>
  <r>
    <d v="2025-04-29T00:00:00"/>
    <s v="AD003"/>
    <x v="3"/>
    <x v="3"/>
    <x v="1"/>
    <n v="203313"/>
    <n v="15538"/>
    <n v="2353"/>
    <n v="1144"/>
    <n v="655"/>
    <n v="145045.48000000001"/>
    <x v="546"/>
    <x v="0"/>
    <n v="7.6424035846207579"/>
    <n v="9.3348873728922648"/>
    <n v="15.143519114429141"/>
    <n v="221.44348091603055"/>
    <n v="34.382689553648966"/>
  </r>
  <r>
    <d v="2025-04-30T00:00:00"/>
    <s v="AD003"/>
    <x v="3"/>
    <x v="3"/>
    <x v="2"/>
    <n v="220384"/>
    <n v="8142"/>
    <n v="1402"/>
    <n v="907"/>
    <n v="369"/>
    <n v="152034.62"/>
    <x v="547"/>
    <x v="3"/>
    <n v="3.6944605779003923"/>
    <n v="18.672883812331122"/>
    <n v="17.219356423483173"/>
    <n v="412.0179403794038"/>
    <n v="13.829479430408679"/>
  </r>
  <r>
    <d v="2025-05-01T00:00:00"/>
    <s v="AD002"/>
    <x v="4"/>
    <x v="4"/>
    <x v="3"/>
    <n v="240139"/>
    <n v="11309"/>
    <n v="1987"/>
    <n v="1165"/>
    <n v="696"/>
    <n v="180456.12"/>
    <x v="548"/>
    <x v="3"/>
    <n v="4.7093558314143058"/>
    <n v="15.956859138739057"/>
    <n v="17.570076929878859"/>
    <n v="259.27603448275863"/>
    <n v="23.323220348525723"/>
  </r>
  <r>
    <d v="2025-05-01T00:00:00"/>
    <s v="AD003"/>
    <x v="3"/>
    <x v="3"/>
    <x v="1"/>
    <n v="289903"/>
    <n v="22942"/>
    <n v="4003"/>
    <n v="2536"/>
    <n v="1136"/>
    <n v="276281.53000000003"/>
    <x v="549"/>
    <x v="2"/>
    <n v="7.9136814727684772"/>
    <n v="12.042608752506322"/>
    <n v="17.448348008020226"/>
    <n v="243.20557218309861"/>
    <n v="23.412488196369836"/>
  </r>
  <r>
    <d v="2025-05-02T00:00:00"/>
    <s v="AD002"/>
    <x v="4"/>
    <x v="4"/>
    <x v="3"/>
    <n v="145953"/>
    <n v="6934"/>
    <n v="1681"/>
    <n v="974"/>
    <n v="435"/>
    <n v="80170.2"/>
    <x v="550"/>
    <x v="0"/>
    <n v="4.750844449925661"/>
    <n v="11.561897894433228"/>
    <n v="24.242861263340064"/>
    <n v="184.29931034482757"/>
    <n v="31.578179423276978"/>
  </r>
  <r>
    <d v="2025-05-02T00:00:00"/>
    <s v="AD003"/>
    <x v="3"/>
    <x v="3"/>
    <x v="0"/>
    <n v="224774"/>
    <n v="8087"/>
    <n v="1510"/>
    <n v="927"/>
    <n v="437"/>
    <n v="144246.98000000001"/>
    <x v="551"/>
    <x v="3"/>
    <n v="3.5978360486533143"/>
    <n v="17.83689625324595"/>
    <n v="18.671942623964387"/>
    <n v="330.08462242562933"/>
    <n v="19.453593135884024"/>
  </r>
  <r>
    <d v="2025-05-03T00:00:00"/>
    <s v="AD002"/>
    <x v="4"/>
    <x v="4"/>
    <x v="3"/>
    <n v="125764"/>
    <n v="4601"/>
    <n v="978"/>
    <n v="630"/>
    <n v="302"/>
    <n v="67771.58"/>
    <x v="552"/>
    <x v="1"/>
    <n v="3.6584396170605258"/>
    <n v="14.729750054336014"/>
    <n v="21.256248641599651"/>
    <n v="224.40920529801326"/>
    <n v="34.666159325192062"/>
  </r>
  <r>
    <d v="2025-05-03T00:00:00"/>
    <s v="AD003"/>
    <x v="3"/>
    <x v="3"/>
    <x v="1"/>
    <n v="283215"/>
    <n v="9156"/>
    <n v="1720"/>
    <n v="956"/>
    <n v="382"/>
    <n v="274488.3"/>
    <x v="553"/>
    <x v="2"/>
    <n v="3.2328796144272016"/>
    <n v="29.979062909567496"/>
    <n v="18.785495849716032"/>
    <n v="718.55575916230362"/>
    <n v="5.4346619145515502"/>
  </r>
  <r>
    <d v="2025-05-04T00:00:00"/>
    <s v="AD002"/>
    <x v="4"/>
    <x v="4"/>
    <x v="3"/>
    <n v="254360"/>
    <n v="11109"/>
    <n v="2734"/>
    <n v="1480"/>
    <n v="668"/>
    <n v="226644.84"/>
    <x v="554"/>
    <x v="1"/>
    <n v="4.3674319861613462"/>
    <n v="20.401911963273022"/>
    <n v="24.610676028445404"/>
    <n v="339.28868263473055"/>
    <n v="12.319979797466381"/>
  </r>
  <r>
    <d v="2025-05-04T00:00:00"/>
    <s v="AD003"/>
    <x v="3"/>
    <x v="3"/>
    <x v="2"/>
    <n v="67770"/>
    <n v="4813"/>
    <n v="744"/>
    <n v="355"/>
    <n v="155"/>
    <n v="62523.21"/>
    <x v="555"/>
    <x v="4"/>
    <n v="7.1019625202892138"/>
    <n v="12.990486183253688"/>
    <n v="15.458134219821318"/>
    <n v="403.37554838709679"/>
    <n v="16.514099164134407"/>
  </r>
  <r>
    <d v="2025-05-05T00:00:00"/>
    <s v="AD002"/>
    <x v="4"/>
    <x v="4"/>
    <x v="3"/>
    <n v="208578"/>
    <n v="12706"/>
    <n v="2381"/>
    <n v="1311"/>
    <n v="655"/>
    <n v="116823.1"/>
    <x v="556"/>
    <x v="0"/>
    <n v="6.0917258771298988"/>
    <n v="9.1943255155044863"/>
    <n v="18.739178340941287"/>
    <n v="178.35587786259543"/>
    <n v="25.57124207455546"/>
  </r>
  <r>
    <d v="2025-05-05T00:00:00"/>
    <s v="AD003"/>
    <x v="3"/>
    <x v="3"/>
    <x v="1"/>
    <n v="104892"/>
    <n v="8197"/>
    <n v="1255"/>
    <n v="616"/>
    <n v="347"/>
    <n v="51518.58"/>
    <x v="557"/>
    <x v="2"/>
    <n v="7.8147046485909311"/>
    <n v="6.2850530681956815"/>
    <n v="15.310479443698915"/>
    <n v="148.46853025936599"/>
    <n v="41.718453420105909"/>
  </r>
  <r>
    <d v="2025-05-06T00:00:00"/>
    <s v="AD002"/>
    <x v="4"/>
    <x v="4"/>
    <x v="3"/>
    <n v="174201"/>
    <n v="12488"/>
    <n v="2889"/>
    <n v="1838"/>
    <n v="796"/>
    <n v="133968.34"/>
    <x v="558"/>
    <x v="0"/>
    <n v="7.16873037468212"/>
    <n v="10.727765855221012"/>
    <n v="23.134208840486867"/>
    <n v="168.30193467336682"/>
    <n v="37.273241050833356"/>
  </r>
  <r>
    <d v="2025-05-06T00:00:00"/>
    <s v="AD003"/>
    <x v="3"/>
    <x v="3"/>
    <x v="1"/>
    <n v="204932"/>
    <n v="9551"/>
    <n v="2028"/>
    <n v="1175"/>
    <n v="688"/>
    <n v="119604.48"/>
    <x v="559"/>
    <x v="4"/>
    <n v="4.6605703355259305"/>
    <n v="12.522718039995812"/>
    <n v="21.23337870380065"/>
    <n v="173.84372093023256"/>
    <n v="21.156930074860075"/>
  </r>
  <r>
    <d v="2025-05-07T00:00:00"/>
    <s v="AD002"/>
    <x v="4"/>
    <x v="4"/>
    <x v="3"/>
    <n v="281251"/>
    <n v="18428"/>
    <n v="4606"/>
    <n v="2913"/>
    <n v="1585"/>
    <n v="223349.7"/>
    <x v="560"/>
    <x v="3"/>
    <n v="6.5521544812285111"/>
    <n v="12.120126980681572"/>
    <n v="24.994573475146517"/>
    <n v="140.91463722397478"/>
    <n v="32.476589267861115"/>
  </r>
  <r>
    <d v="2025-05-07T00:00:00"/>
    <s v="AD003"/>
    <x v="3"/>
    <x v="3"/>
    <x v="1"/>
    <n v="126647"/>
    <n v="7408"/>
    <n v="1738"/>
    <n v="883"/>
    <n v="464"/>
    <n v="97271.17"/>
    <x v="561"/>
    <x v="3"/>
    <n v="5.8493292379606308"/>
    <n v="13.130557505399567"/>
    <n v="23.461123110151188"/>
    <n v="209.6361422413793"/>
    <n v="18.357088333573042"/>
  </r>
  <r>
    <d v="2025-05-08T00:00:00"/>
    <s v="AD002"/>
    <x v="4"/>
    <x v="4"/>
    <x v="3"/>
    <n v="97979"/>
    <n v="3175"/>
    <n v="583"/>
    <n v="301"/>
    <n v="168"/>
    <n v="58564.33"/>
    <x v="562"/>
    <x v="2"/>
    <n v="3.2404903091478787"/>
    <n v="18.445458267716536"/>
    <n v="18.362204724409448"/>
    <n v="348.59720238095241"/>
    <n v="9.0424278737586512"/>
  </r>
  <r>
    <d v="2025-05-08T00:00:00"/>
    <s v="AD003"/>
    <x v="3"/>
    <x v="3"/>
    <x v="2"/>
    <n v="154994"/>
    <n v="5796"/>
    <n v="1347"/>
    <n v="863"/>
    <n v="431"/>
    <n v="121038.69"/>
    <x v="563"/>
    <x v="4"/>
    <n v="3.7394995935326532"/>
    <n v="20.883141821946172"/>
    <n v="23.240165631469981"/>
    <n v="280.83222737819028"/>
    <n v="18.14640607891576"/>
  </r>
  <r>
    <d v="2025-05-09T00:00:00"/>
    <s v="AD002"/>
    <x v="4"/>
    <x v="4"/>
    <x v="3"/>
    <n v="258980"/>
    <n v="19662"/>
    <n v="3598"/>
    <n v="1763"/>
    <n v="758"/>
    <n v="228071.85"/>
    <x v="564"/>
    <x v="1"/>
    <n v="7.5920920534404202"/>
    <n v="11.599626182483979"/>
    <n v="18.299257450920557"/>
    <n v="300.88634564643803"/>
    <n v="21.524241637010444"/>
  </r>
  <r>
    <d v="2025-05-09T00:00:00"/>
    <s v="AD003"/>
    <x v="3"/>
    <x v="3"/>
    <x v="1"/>
    <n v="108431"/>
    <n v="6177"/>
    <n v="1134"/>
    <n v="595"/>
    <n v="240"/>
    <n v="100523.61"/>
    <x v="565"/>
    <x v="2"/>
    <n v="5.6967103503610588"/>
    <n v="16.273856240893636"/>
    <n v="18.358426420592522"/>
    <n v="418.84837499999998"/>
    <n v="8.9272968808024302"/>
  </r>
  <r>
    <d v="2025-05-10T00:00:00"/>
    <s v="AD002"/>
    <x v="4"/>
    <x v="4"/>
    <x v="3"/>
    <n v="51259"/>
    <n v="3592"/>
    <n v="541"/>
    <n v="312"/>
    <n v="131"/>
    <n v="24423.78"/>
    <x v="566"/>
    <x v="3"/>
    <n v="7.0075498936772078"/>
    <n v="6.7994933184855233"/>
    <n v="15.061247216035634"/>
    <n v="186.44106870229007"/>
    <n v="29.58920773115382"/>
  </r>
  <r>
    <d v="2025-05-10T00:00:00"/>
    <s v="AD003"/>
    <x v="3"/>
    <x v="3"/>
    <x v="1"/>
    <n v="128908"/>
    <n v="5068"/>
    <n v="994"/>
    <n v="535"/>
    <n v="273"/>
    <n v="101891.88"/>
    <x v="567"/>
    <x v="3"/>
    <n v="3.9314860210382601"/>
    <n v="20.10494869771113"/>
    <n v="19.613259668508288"/>
    <n v="373.2303296703297"/>
    <n v="12.961271889379214"/>
  </r>
  <r>
    <d v="2025-05-11T00:00:00"/>
    <s v="AD002"/>
    <x v="4"/>
    <x v="4"/>
    <x v="3"/>
    <n v="107884"/>
    <n v="5598"/>
    <n v="1238"/>
    <n v="596"/>
    <n v="240"/>
    <n v="51643.69"/>
    <x v="568"/>
    <x v="4"/>
    <n v="5.1889066033888254"/>
    <n v="9.2253822793854958"/>
    <n v="22.115041086102181"/>
    <n v="215.18204166666666"/>
    <n v="16.698136209864167"/>
  </r>
  <r>
    <d v="2025-05-11T00:00:00"/>
    <s v="AD003"/>
    <x v="3"/>
    <x v="3"/>
    <x v="1"/>
    <n v="281759"/>
    <n v="18036"/>
    <n v="3182"/>
    <n v="2035"/>
    <n v="1042"/>
    <n v="149263.62"/>
    <x v="569"/>
    <x v="3"/>
    <n v="6.4012152229387524"/>
    <n v="8.2758715901530273"/>
    <n v="17.642492792193391"/>
    <n v="143.24723608445296"/>
    <n v="47.134078551759636"/>
  </r>
  <r>
    <d v="2025-05-12T00:00:00"/>
    <s v="AD002"/>
    <x v="4"/>
    <x v="4"/>
    <x v="3"/>
    <n v="109219"/>
    <n v="6309"/>
    <n v="1002"/>
    <n v="621"/>
    <n v="302"/>
    <n v="80141.73"/>
    <x v="570"/>
    <x v="3"/>
    <n v="5.7764674644521552"/>
    <n v="12.702762719923918"/>
    <n v="15.882073228720875"/>
    <n v="265.36996688741721"/>
    <n v="19.16292984940555"/>
  </r>
  <r>
    <d v="2025-05-12T00:00:00"/>
    <s v="AD003"/>
    <x v="3"/>
    <x v="3"/>
    <x v="0"/>
    <n v="56655"/>
    <n v="3075"/>
    <n v="664"/>
    <n v="314"/>
    <n v="152"/>
    <n v="22689.88"/>
    <x v="571"/>
    <x v="3"/>
    <n v="5.4275880328302879"/>
    <n v="7.3788227642276425"/>
    <n v="21.59349593495935"/>
    <n v="149.27552631578948"/>
    <n v="49.782007661565416"/>
  </r>
  <r>
    <d v="2025-05-13T00:00:00"/>
    <s v="AD002"/>
    <x v="4"/>
    <x v="4"/>
    <x v="3"/>
    <n v="127468"/>
    <n v="5926"/>
    <n v="1247"/>
    <n v="622"/>
    <n v="336"/>
    <n v="101926.37"/>
    <x v="572"/>
    <x v="1"/>
    <n v="4.6490099475946911"/>
    <n v="17.199859939250757"/>
    <n v="21.042861964225448"/>
    <n v="303.35229166666664"/>
    <n v="18.243530893918816"/>
  </r>
  <r>
    <d v="2025-05-13T00:00:00"/>
    <s v="AD003"/>
    <x v="3"/>
    <x v="3"/>
    <x v="1"/>
    <n v="263989"/>
    <n v="20499"/>
    <n v="4960"/>
    <n v="3112"/>
    <n v="1581"/>
    <n v="241710.75"/>
    <x v="573"/>
    <x v="2"/>
    <n v="7.7650962729507667"/>
    <n v="11.791343480169765"/>
    <n v="24.196302258646764"/>
    <n v="152.884724857685"/>
    <n v="43.120062554106511"/>
  </r>
  <r>
    <d v="2025-05-14T00:00:00"/>
    <s v="AD002"/>
    <x v="4"/>
    <x v="4"/>
    <x v="3"/>
    <n v="216556"/>
    <n v="14437"/>
    <n v="2858"/>
    <n v="1623"/>
    <n v="754"/>
    <n v="187567.69"/>
    <x v="574"/>
    <x v="1"/>
    <n v="6.6666358817118896"/>
    <n v="12.992151416499272"/>
    <n v="19.796356583777794"/>
    <n v="248.76351458885941"/>
    <n v="13.873729158790621"/>
  </r>
  <r>
    <d v="2025-05-14T00:00:00"/>
    <s v="AD003"/>
    <x v="3"/>
    <x v="3"/>
    <x v="2"/>
    <n v="176419"/>
    <n v="6312"/>
    <n v="1409"/>
    <n v="877"/>
    <n v="517"/>
    <n v="156086.32"/>
    <x v="575"/>
    <x v="1"/>
    <n v="3.5778459236250066"/>
    <n v="24.728504435994932"/>
    <n v="22.322560202788338"/>
    <n v="301.90777562862672"/>
    <n v="25.127590745941092"/>
  </r>
  <r>
    <d v="2025-05-15T00:00:00"/>
    <s v="AD002"/>
    <x v="4"/>
    <x v="4"/>
    <x v="3"/>
    <n v="104288"/>
    <n v="4814"/>
    <n v="768"/>
    <n v="360"/>
    <n v="179"/>
    <n v="86527.19"/>
    <x v="576"/>
    <x v="0"/>
    <n v="4.6160632095734888"/>
    <n v="17.974073535521395"/>
    <n v="15.953469048608227"/>
    <n v="483.39212290502792"/>
    <n v="10.839401233300192"/>
  </r>
  <r>
    <d v="2025-05-15T00:00:00"/>
    <s v="AD003"/>
    <x v="3"/>
    <x v="3"/>
    <x v="2"/>
    <n v="246319"/>
    <n v="18568"/>
    <n v="2933"/>
    <n v="1874"/>
    <n v="956"/>
    <n v="223803.59"/>
    <x v="577"/>
    <x v="3"/>
    <n v="7.5381923440741474"/>
    <n v="12.053187742352435"/>
    <n v="15.795993106419647"/>
    <n v="234.10417364016737"/>
    <n v="23.899804154169285"/>
  </r>
  <r>
    <d v="2025-05-16T00:00:00"/>
    <s v="AD002"/>
    <x v="4"/>
    <x v="4"/>
    <x v="3"/>
    <n v="272620"/>
    <n v="19195"/>
    <n v="3980"/>
    <n v="1800"/>
    <n v="723"/>
    <n v="190013.67"/>
    <x v="578"/>
    <x v="2"/>
    <n v="7.0409361015332701"/>
    <n v="9.8991232091690549"/>
    <n v="20.734566293305548"/>
    <n v="262.8128215767635"/>
    <n v="24.389468189315011"/>
  </r>
  <r>
    <d v="2025-05-16T00:00:00"/>
    <s v="AD003"/>
    <x v="3"/>
    <x v="3"/>
    <x v="0"/>
    <n v="135416"/>
    <n v="9754"/>
    <n v="1804"/>
    <n v="831"/>
    <n v="444"/>
    <n v="111777.17"/>
    <x v="579"/>
    <x v="0"/>
    <n v="7.2029893070242812"/>
    <n v="11.459623744104983"/>
    <n v="18.494976419930286"/>
    <n v="251.75038288288289"/>
    <n v="22.599588717445609"/>
  </r>
  <r>
    <d v="2025-05-17T00:00:00"/>
    <s v="AD002"/>
    <x v="4"/>
    <x v="4"/>
    <x v="3"/>
    <n v="205846"/>
    <n v="16047"/>
    <n v="2839"/>
    <n v="1461"/>
    <n v="602"/>
    <n v="109111.63"/>
    <x v="580"/>
    <x v="3"/>
    <n v="7.795633629023639"/>
    <n v="6.799503333956503"/>
    <n v="17.691780395089424"/>
    <n v="181.24855481727576"/>
    <n v="29.938536616124235"/>
  </r>
  <r>
    <d v="2025-05-17T00:00:00"/>
    <s v="AD003"/>
    <x v="3"/>
    <x v="3"/>
    <x v="0"/>
    <n v="277369"/>
    <n v="9937"/>
    <n v="2473"/>
    <n v="1558"/>
    <n v="780"/>
    <n v="197982.71"/>
    <x v="581"/>
    <x v="0"/>
    <n v="3.5825921425970457"/>
    <n v="19.923790882560127"/>
    <n v="24.886786756566366"/>
    <n v="253.82398717948718"/>
    <n v="20.633275804740727"/>
  </r>
  <r>
    <d v="2025-05-18T00:00:00"/>
    <s v="AD002"/>
    <x v="4"/>
    <x v="4"/>
    <x v="3"/>
    <n v="73028"/>
    <n v="3043"/>
    <n v="537"/>
    <n v="345"/>
    <n v="157"/>
    <n v="45541.08"/>
    <x v="582"/>
    <x v="1"/>
    <n v="4.166894889631374"/>
    <n v="14.965849490634243"/>
    <n v="17.647058823529413"/>
    <n v="290.07057324840764"/>
    <n v="15.341484874754837"/>
  </r>
  <r>
    <d v="2025-05-18T00:00:00"/>
    <s v="AD003"/>
    <x v="3"/>
    <x v="3"/>
    <x v="0"/>
    <n v="154431"/>
    <n v="8758"/>
    <n v="1526"/>
    <n v="770"/>
    <n v="401"/>
    <n v="67378.69"/>
    <x v="583"/>
    <x v="4"/>
    <n v="5.6711411568920749"/>
    <n v="7.6933877597625031"/>
    <n v="17.424069422242521"/>
    <n v="168.02665835411472"/>
    <n v="47.237993941407879"/>
  </r>
  <r>
    <d v="2025-05-19T00:00:00"/>
    <s v="AD002"/>
    <x v="4"/>
    <x v="4"/>
    <x v="3"/>
    <n v="129271"/>
    <n v="8596"/>
    <n v="1731"/>
    <n v="909"/>
    <n v="413"/>
    <n v="61223.519999999997"/>
    <x v="584"/>
    <x v="2"/>
    <n v="6.6495965839206015"/>
    <n v="7.122326663564448"/>
    <n v="20.137273150302466"/>
    <n v="148.24096852300241"/>
    <n v="52.473565714614253"/>
  </r>
  <r>
    <d v="2025-05-19T00:00:00"/>
    <s v="AD003"/>
    <x v="3"/>
    <x v="3"/>
    <x v="2"/>
    <n v="294707"/>
    <n v="9304"/>
    <n v="1777"/>
    <n v="925"/>
    <n v="464"/>
    <n v="171711.35"/>
    <x v="585"/>
    <x v="3"/>
    <n v="3.157033935400245"/>
    <n v="18.455648108340501"/>
    <n v="19.099312123817715"/>
    <n v="370.06756465517242"/>
    <n v="8.3608670015115489"/>
  </r>
  <r>
    <d v="2025-05-20T00:00:00"/>
    <s v="AD002"/>
    <x v="4"/>
    <x v="4"/>
    <x v="3"/>
    <n v="163842"/>
    <n v="7426"/>
    <n v="1233"/>
    <n v="778"/>
    <n v="374"/>
    <n v="74194.66"/>
    <x v="586"/>
    <x v="1"/>
    <n v="4.5324153757888697"/>
    <n v="9.9912011850255862"/>
    <n v="16.603824400754107"/>
    <n v="198.3814438502674"/>
    <n v="34.124610180840506"/>
  </r>
  <r>
    <d v="2025-05-20T00:00:00"/>
    <s v="AD003"/>
    <x v="3"/>
    <x v="3"/>
    <x v="2"/>
    <n v="170906"/>
    <n v="10548"/>
    <n v="1817"/>
    <n v="1173"/>
    <n v="608"/>
    <n v="123281.41"/>
    <x v="587"/>
    <x v="3"/>
    <n v="6.1718137455677393"/>
    <n v="11.68765737580584"/>
    <n v="17.226014410314754"/>
    <n v="202.76547697368423"/>
    <n v="23.615009756945511"/>
  </r>
  <r>
    <d v="2025-05-21T00:00:00"/>
    <s v="AD002"/>
    <x v="4"/>
    <x v="4"/>
    <x v="3"/>
    <n v="61054"/>
    <n v="3895"/>
    <n v="951"/>
    <n v="543"/>
    <n v="240"/>
    <n v="25073.99"/>
    <x v="588"/>
    <x v="3"/>
    <n v="6.3795983883119858"/>
    <n v="6.437481386392812"/>
    <n v="24.415917843388961"/>
    <n v="104.47495833333333"/>
    <n v="50.52812775310192"/>
  </r>
  <r>
    <d v="2025-05-21T00:00:00"/>
    <s v="AD003"/>
    <x v="3"/>
    <x v="3"/>
    <x v="1"/>
    <n v="121352"/>
    <n v="4064"/>
    <n v="696"/>
    <n v="357"/>
    <n v="180"/>
    <n v="54958.71"/>
    <x v="589"/>
    <x v="4"/>
    <n v="3.3489353286307604"/>
    <n v="13.523304625984252"/>
    <n v="17.125984251968504"/>
    <n v="305.32616666666667"/>
    <n v="17.122568924925641"/>
  </r>
  <r>
    <d v="2025-05-22T00:00:00"/>
    <s v="AD002"/>
    <x v="4"/>
    <x v="4"/>
    <x v="3"/>
    <n v="109881"/>
    <n v="4764"/>
    <n v="991"/>
    <n v="450"/>
    <n v="232"/>
    <n v="99134.91"/>
    <x v="590"/>
    <x v="1"/>
    <n v="4.3355994211920175"/>
    <n v="20.809175062972294"/>
    <n v="20.801847187237616"/>
    <n v="427.30564655172418"/>
    <n v="15.942394258490777"/>
  </r>
  <r>
    <d v="2025-05-22T00:00:00"/>
    <s v="AD003"/>
    <x v="3"/>
    <x v="3"/>
    <x v="0"/>
    <n v="228338"/>
    <n v="16682"/>
    <n v="2885"/>
    <n v="1390"/>
    <n v="593"/>
    <n v="202855.34"/>
    <x v="591"/>
    <x v="3"/>
    <n v="7.3058360851019106"/>
    <n v="12.160133077568636"/>
    <n v="17.2940894377173"/>
    <n v="342.08320404721752"/>
    <n v="23.163696159046147"/>
  </r>
  <r>
    <d v="2025-05-23T00:00:00"/>
    <s v="AD002"/>
    <x v="4"/>
    <x v="4"/>
    <x v="3"/>
    <n v="138950"/>
    <n v="8247"/>
    <n v="1433"/>
    <n v="743"/>
    <n v="371"/>
    <n v="87585.26"/>
    <x v="592"/>
    <x v="2"/>
    <n v="5.935228499460238"/>
    <n v="10.620257063174487"/>
    <n v="17.376015520795441"/>
    <n v="236.07886792452828"/>
    <n v="25.97695388470617"/>
  </r>
  <r>
    <d v="2025-05-23T00:00:00"/>
    <s v="AD003"/>
    <x v="3"/>
    <x v="3"/>
    <x v="2"/>
    <n v="81571"/>
    <n v="6335"/>
    <n v="1288"/>
    <n v="609"/>
    <n v="288"/>
    <n v="69379.64"/>
    <x v="593"/>
    <x v="1"/>
    <n v="7.7662404531022053"/>
    <n v="10.951797947908444"/>
    <n v="20.331491712707184"/>
    <n v="240.90152777777777"/>
    <n v="14.470660412766627"/>
  </r>
  <r>
    <d v="2025-05-24T00:00:00"/>
    <s v="AD002"/>
    <x v="4"/>
    <x v="4"/>
    <x v="3"/>
    <n v="261935"/>
    <n v="11611"/>
    <n v="1967"/>
    <n v="1027"/>
    <n v="604"/>
    <n v="209519.18"/>
    <x v="594"/>
    <x v="1"/>
    <n v="4.4327791245919794"/>
    <n v="18.044886745327705"/>
    <n v="16.94083196968392"/>
    <n v="346.88605960264897"/>
    <n v="14.781421586319688"/>
  </r>
  <r>
    <d v="2025-05-24T00:00:00"/>
    <s v="AD003"/>
    <x v="3"/>
    <x v="3"/>
    <x v="1"/>
    <n v="107849"/>
    <n v="6825"/>
    <n v="1489"/>
    <n v="749"/>
    <n v="394"/>
    <n v="81201.03"/>
    <x v="595"/>
    <x v="3"/>
    <n v="6.3282923346530797"/>
    <n v="11.897586813186813"/>
    <n v="21.816849816849818"/>
    <n v="206.09398477157359"/>
    <n v="15.466943091731718"/>
  </r>
  <r>
    <d v="2025-05-25T00:00:00"/>
    <s v="AD002"/>
    <x v="4"/>
    <x v="4"/>
    <x v="3"/>
    <n v="199889"/>
    <n v="7676"/>
    <n v="1181"/>
    <n v="628"/>
    <n v="295"/>
    <n v="160449.25"/>
    <x v="596"/>
    <x v="2"/>
    <n v="3.8401312728564356"/>
    <n v="20.902716258467951"/>
    <n v="15.385617509119335"/>
    <n v="543.89576271186445"/>
    <n v="8.8681895988918615"/>
  </r>
  <r>
    <d v="2025-05-25T00:00:00"/>
    <s v="AD003"/>
    <x v="3"/>
    <x v="3"/>
    <x v="0"/>
    <n v="221701"/>
    <n v="9472"/>
    <n v="2148"/>
    <n v="1063"/>
    <n v="587"/>
    <n v="167627.5"/>
    <x v="597"/>
    <x v="1"/>
    <n v="4.2724209633695835"/>
    <n v="17.697160050675677"/>
    <n v="22.677364864864867"/>
    <n v="285.56643952299828"/>
    <n v="20.067244753993229"/>
  </r>
  <r>
    <d v="2025-05-26T00:00:00"/>
    <s v="AD002"/>
    <x v="4"/>
    <x v="4"/>
    <x v="3"/>
    <n v="95432"/>
    <n v="7312"/>
    <n v="1525"/>
    <n v="799"/>
    <n v="461"/>
    <n v="75781.679999999993"/>
    <x v="598"/>
    <x v="3"/>
    <n v="7.6620001676586478"/>
    <n v="10.36401531728665"/>
    <n v="20.85612691466083"/>
    <n v="164.3854229934924"/>
    <n v="28.272714724719748"/>
  </r>
  <r>
    <d v="2025-05-26T00:00:00"/>
    <s v="AD003"/>
    <x v="3"/>
    <x v="3"/>
    <x v="2"/>
    <n v="258060"/>
    <n v="19102"/>
    <n v="4745"/>
    <n v="2505"/>
    <n v="1316"/>
    <n v="149089.16"/>
    <x v="599"/>
    <x v="3"/>
    <n v="7.4021545377044102"/>
    <n v="7.8048979164485397"/>
    <n v="24.84033085540781"/>
    <n v="113.28963525835867"/>
    <n v="58.532232323262129"/>
  </r>
  <r>
    <d v="2025-05-27T00:00:00"/>
    <s v="AD002"/>
    <x v="4"/>
    <x v="4"/>
    <x v="3"/>
    <n v="161958"/>
    <n v="8826"/>
    <n v="1937"/>
    <n v="906"/>
    <n v="520"/>
    <n v="70025.64"/>
    <x v="600"/>
    <x v="1"/>
    <n v="5.4495609972955954"/>
    <n v="7.9340176750509857"/>
    <n v="21.946521640607298"/>
    <n v="134.66469230769232"/>
    <n v="56.329590275790409"/>
  </r>
  <r>
    <d v="2025-05-27T00:00:00"/>
    <s v="AD003"/>
    <x v="3"/>
    <x v="3"/>
    <x v="1"/>
    <n v="298878"/>
    <n v="16202"/>
    <n v="3092"/>
    <n v="1903"/>
    <n v="1055"/>
    <n v="156885.57999999999"/>
    <x v="601"/>
    <x v="0"/>
    <n v="5.4209409859541351"/>
    <n v="9.6830996173311927"/>
    <n v="19.084063695840019"/>
    <n v="148.70671090047392"/>
    <n v="45.574322254473614"/>
  </r>
  <r>
    <d v="2025-05-28T00:00:00"/>
    <s v="AD002"/>
    <x v="4"/>
    <x v="4"/>
    <x v="3"/>
    <n v="107903"/>
    <n v="3524"/>
    <n v="729"/>
    <n v="457"/>
    <n v="206"/>
    <n v="103430.57"/>
    <x v="602"/>
    <x v="0"/>
    <n v="3.2658962216064431"/>
    <n v="29.350332009080592"/>
    <n v="20.686719636776392"/>
    <n v="502.09014563106797"/>
    <n v="13.083176182824864"/>
  </r>
  <r>
    <d v="2025-05-28T00:00:00"/>
    <s v="AD003"/>
    <x v="3"/>
    <x v="3"/>
    <x v="1"/>
    <n v="173020"/>
    <n v="10599"/>
    <n v="1880"/>
    <n v="1217"/>
    <n v="720"/>
    <n v="77910.38"/>
    <x v="603"/>
    <x v="1"/>
    <n v="6.1258814009941052"/>
    <n v="7.3507293140862346"/>
    <n v="17.737522407774318"/>
    <n v="108.20886111111112"/>
    <n v="41.594347248723466"/>
  </r>
  <r>
    <d v="2025-05-29T00:00:00"/>
    <s v="AD002"/>
    <x v="4"/>
    <x v="4"/>
    <x v="3"/>
    <n v="208326"/>
    <n v="16547"/>
    <n v="2535"/>
    <n v="1311"/>
    <n v="579"/>
    <n v="128714.62"/>
    <x v="604"/>
    <x v="0"/>
    <n v="7.9428395879534959"/>
    <n v="7.7787284704175983"/>
    <n v="15.31999758264338"/>
    <n v="222.30504317789291"/>
    <n v="16.360942603101339"/>
  </r>
  <r>
    <d v="2025-05-29T00:00:00"/>
    <s v="AD003"/>
    <x v="3"/>
    <x v="3"/>
    <x v="0"/>
    <n v="254367"/>
    <n v="11373"/>
    <n v="2455"/>
    <n v="1286"/>
    <n v="523"/>
    <n v="144783.34"/>
    <x v="605"/>
    <x v="3"/>
    <n v="4.4710988453690925"/>
    <n v="12.730444034115887"/>
    <n v="21.58621296052053"/>
    <n v="276.83239005736135"/>
    <n v="24.415773803809195"/>
  </r>
  <r>
    <d v="2025-05-30T00:00:00"/>
    <s v="AD002"/>
    <x v="4"/>
    <x v="4"/>
    <x v="3"/>
    <n v="221642"/>
    <n v="16515"/>
    <n v="3805"/>
    <n v="2059"/>
    <n v="1044"/>
    <n v="213043.67"/>
    <x v="606"/>
    <x v="2"/>
    <n v="7.45120509650698"/>
    <n v="12.90001029367242"/>
    <n v="23.039660914320315"/>
    <n v="204.06481800766284"/>
    <n v="27.198627962051155"/>
  </r>
  <r>
    <d v="2025-05-30T00:00:00"/>
    <s v="AD003"/>
    <x v="3"/>
    <x v="3"/>
    <x v="1"/>
    <n v="171248"/>
    <n v="12218"/>
    <n v="1850"/>
    <n v="1118"/>
    <n v="623"/>
    <n v="161173.5"/>
    <x v="607"/>
    <x v="0"/>
    <n v="7.1346818648976917"/>
    <n v="13.191479783925356"/>
    <n v="15.141594368963823"/>
    <n v="258.70545746388444"/>
    <n v="27.176620722389227"/>
  </r>
  <r>
    <d v="2025-05-31T00:00:00"/>
    <s v="AD002"/>
    <x v="4"/>
    <x v="4"/>
    <x v="3"/>
    <n v="172441"/>
    <n v="10888"/>
    <n v="1929"/>
    <n v="985"/>
    <n v="439"/>
    <n v="111414.3"/>
    <x v="608"/>
    <x v="3"/>
    <n v="6.3140436439129903"/>
    <n v="10.232760837619399"/>
    <n v="17.716752387950034"/>
    <n v="253.79111617312074"/>
    <n v="25.194388512067125"/>
  </r>
  <r>
    <d v="2025-05-31T00:00:00"/>
    <s v="AD003"/>
    <x v="3"/>
    <x v="3"/>
    <x v="1"/>
    <n v="79898"/>
    <n v="3387"/>
    <n v="708"/>
    <n v="348"/>
    <n v="144"/>
    <n v="46053.63"/>
    <x v="609"/>
    <x v="1"/>
    <n v="4.2391549225262208"/>
    <n v="13.597174490699734"/>
    <n v="20.903454384410981"/>
    <n v="319.81687499999998"/>
    <n v="14.427661185448358"/>
  </r>
  <r>
    <d v="2025-06-01T00:00:00"/>
    <s v="AD002"/>
    <x v="4"/>
    <x v="4"/>
    <x v="3"/>
    <n v="179655"/>
    <n v="5969"/>
    <n v="1158"/>
    <n v="725"/>
    <n v="292"/>
    <n v="107637.78"/>
    <x v="610"/>
    <x v="2"/>
    <n v="3.3224791962372322"/>
    <n v="18.032799463896801"/>
    <n v="19.400234545149942"/>
    <n v="368.62253424657536"/>
    <n v="15.54373055631582"/>
  </r>
  <r>
    <d v="2025-06-02T00:00:00"/>
    <s v="AD002"/>
    <x v="4"/>
    <x v="4"/>
    <x v="3"/>
    <n v="112007"/>
    <n v="7687"/>
    <n v="1249"/>
    <n v="590"/>
    <n v="333"/>
    <n v="69690.34"/>
    <x v="611"/>
    <x v="3"/>
    <n v="6.8629639218977383"/>
    <n v="9.0659997398204748"/>
    <n v="16.248211265773381"/>
    <n v="209.2803003003003"/>
    <n v="26.541128081739881"/>
  </r>
  <r>
    <d v="2025-06-03T00:00:00"/>
    <s v="AD002"/>
    <x v="4"/>
    <x v="4"/>
    <x v="3"/>
    <n v="77080"/>
    <n v="2952"/>
    <n v="558"/>
    <n v="255"/>
    <n v="145"/>
    <n v="53641.08"/>
    <x v="612"/>
    <x v="2"/>
    <n v="3.8297872340425529"/>
    <n v="18.17109756097561"/>
    <n v="18.902439024390244"/>
    <n v="369.93848275862069"/>
    <n v="12.46574640182487"/>
  </r>
  <r>
    <d v="2025-06-04T00:00:00"/>
    <s v="AD002"/>
    <x v="4"/>
    <x v="4"/>
    <x v="3"/>
    <n v="247271"/>
    <n v="13740"/>
    <n v="2356"/>
    <n v="1075"/>
    <n v="541"/>
    <n v="224942.73"/>
    <x v="613"/>
    <x v="3"/>
    <n v="5.5566564619385206"/>
    <n v="16.371377729257642"/>
    <n v="17.147016011644833"/>
    <n v="415.7906284658041"/>
    <n v="15.469961531986385"/>
  </r>
  <r>
    <d v="2025-06-05T00:00:00"/>
    <s v="AD002"/>
    <x v="4"/>
    <x v="4"/>
    <x v="3"/>
    <n v="228774"/>
    <n v="15253"/>
    <n v="3595"/>
    <n v="2264"/>
    <n v="989"/>
    <n v="192239.45"/>
    <x v="614"/>
    <x v="0"/>
    <n v="6.6672786243191968"/>
    <n v="12.60338621910444"/>
    <n v="23.569133940864091"/>
    <n v="194.37760364004046"/>
    <n v="19.596278027220738"/>
  </r>
  <r>
    <d v="2025-06-06T00:00:00"/>
    <s v="AD002"/>
    <x v="4"/>
    <x v="4"/>
    <x v="3"/>
    <n v="140336"/>
    <n v="10973"/>
    <n v="2525"/>
    <n v="1411"/>
    <n v="738"/>
    <n v="101941.71"/>
    <x v="615"/>
    <x v="0"/>
    <n v="7.8190913236803103"/>
    <n v="9.2902314772623722"/>
    <n v="23.011027066435798"/>
    <n v="138.13239837398376"/>
    <n v="33.408569465825124"/>
  </r>
  <r>
    <d v="2025-06-07T00:00:00"/>
    <s v="AD002"/>
    <x v="4"/>
    <x v="4"/>
    <x v="3"/>
    <n v="255443"/>
    <n v="9636"/>
    <n v="2306"/>
    <n v="1082"/>
    <n v="528"/>
    <n v="108919.31"/>
    <x v="616"/>
    <x v="4"/>
    <n v="3.7722701346288607"/>
    <n v="11.303373806558739"/>
    <n v="23.931091739310915"/>
    <n v="206.28657196969698"/>
    <n v="15.070932234146545"/>
  </r>
  <r>
    <d v="2025-06-08T00:00:00"/>
    <s v="AD002"/>
    <x v="4"/>
    <x v="4"/>
    <x v="3"/>
    <n v="153084"/>
    <n v="4907"/>
    <n v="999"/>
    <n v="538"/>
    <n v="307"/>
    <n v="97654.25"/>
    <x v="617"/>
    <x v="1"/>
    <n v="3.2054296987274959"/>
    <n v="19.901008762991644"/>
    <n v="20.358671285918074"/>
    <n v="318.09201954397395"/>
    <n v="16.245970144668561"/>
  </r>
  <r>
    <d v="2025-06-09T00:00:00"/>
    <s v="AD002"/>
    <x v="4"/>
    <x v="4"/>
    <x v="3"/>
    <n v="114699"/>
    <n v="4802"/>
    <n v="801"/>
    <n v="375"/>
    <n v="175"/>
    <n v="79599.73"/>
    <x v="618"/>
    <x v="4"/>
    <n v="4.1866101709692325"/>
    <n v="16.576370262390668"/>
    <n v="16.680549770928778"/>
    <n v="454.85559999999998"/>
    <n v="14.151939460096161"/>
  </r>
  <r>
    <d v="2025-06-10T00:00:00"/>
    <s v="AD002"/>
    <x v="4"/>
    <x v="4"/>
    <x v="3"/>
    <n v="228607"/>
    <n v="11316"/>
    <n v="2761"/>
    <n v="1577"/>
    <n v="831"/>
    <n v="199079.5"/>
    <x v="619"/>
    <x v="0"/>
    <n v="4.9499796594155034"/>
    <n v="17.592744786143513"/>
    <n v="24.39908094733121"/>
    <n v="239.56618531889291"/>
    <n v="27.692694928407999"/>
  </r>
  <r>
    <d v="2025-06-11T00:00:00"/>
    <s v="AD002"/>
    <x v="4"/>
    <x v="4"/>
    <x v="3"/>
    <n v="115246"/>
    <n v="7658"/>
    <n v="1593"/>
    <n v="756"/>
    <n v="338"/>
    <n v="111946.04"/>
    <x v="620"/>
    <x v="4"/>
    <n v="6.6449160925324966"/>
    <n v="14.6181822930269"/>
    <n v="20.801775920605902"/>
    <n v="331.2013017751479"/>
    <n v="22.174938211302518"/>
  </r>
  <r>
    <d v="2025-06-12T00:00:00"/>
    <s v="AD002"/>
    <x v="4"/>
    <x v="4"/>
    <x v="3"/>
    <n v="265508"/>
    <n v="9396"/>
    <n v="1593"/>
    <n v="898"/>
    <n v="489"/>
    <n v="184408.86"/>
    <x v="621"/>
    <x v="0"/>
    <n v="3.5388764180363679"/>
    <n v="19.626315453384418"/>
    <n v="16.954022988505745"/>
    <n v="377.11423312883431"/>
    <n v="12.033505060440156"/>
  </r>
  <r>
    <d v="2025-06-13T00:00:00"/>
    <s v="AD002"/>
    <x v="4"/>
    <x v="4"/>
    <x v="3"/>
    <n v="52092"/>
    <n v="2486"/>
    <n v="570"/>
    <n v="350"/>
    <n v="191"/>
    <n v="35363.69"/>
    <x v="622"/>
    <x v="4"/>
    <n v="4.7723258849727408"/>
    <n v="14.22513676588898"/>
    <n v="22.928399034593724"/>
    <n v="185.15020942408378"/>
    <n v="40.240104751512071"/>
  </r>
  <r>
    <d v="2025-06-14T00:00:00"/>
    <s v="AD002"/>
    <x v="4"/>
    <x v="4"/>
    <x v="3"/>
    <n v="287149"/>
    <n v="12655"/>
    <n v="2180"/>
    <n v="1116"/>
    <n v="601"/>
    <n v="241881.98"/>
    <x v="623"/>
    <x v="2"/>
    <n v="4.407119648684132"/>
    <n v="19.113550375345714"/>
    <n v="17.226392730146188"/>
    <n v="402.46585690515809"/>
    <n v="17.477159522176891"/>
  </r>
  <r>
    <d v="2025-06-15T00:00:00"/>
    <s v="AD002"/>
    <x v="4"/>
    <x v="4"/>
    <x v="3"/>
    <n v="149833"/>
    <n v="7012"/>
    <n v="1494"/>
    <n v="738"/>
    <n v="297"/>
    <n v="131425.41"/>
    <x v="624"/>
    <x v="0"/>
    <n v="4.6798769296483416"/>
    <n v="18.742927837992013"/>
    <n v="21.306332002281803"/>
    <n v="442.50979797979801"/>
    <n v="12.285449061943195"/>
  </r>
  <r>
    <d v="2025-06-16T00:00:00"/>
    <s v="AD002"/>
    <x v="4"/>
    <x v="4"/>
    <x v="3"/>
    <n v="255927"/>
    <n v="12698"/>
    <n v="2565"/>
    <n v="1291"/>
    <n v="774"/>
    <n v="163441.21"/>
    <x v="625"/>
    <x v="0"/>
    <n v="4.9615710730012852"/>
    <n v="12.871413608442273"/>
    <n v="20.200031501023783"/>
    <n v="211.16435400516795"/>
    <n v="24.972080174883679"/>
  </r>
  <r>
    <d v="2025-06-17T00:00:00"/>
    <s v="AD002"/>
    <x v="4"/>
    <x v="4"/>
    <x v="3"/>
    <n v="234335"/>
    <n v="11764"/>
    <n v="1932"/>
    <n v="992"/>
    <n v="435"/>
    <n v="164277.07999999999"/>
    <x v="626"/>
    <x v="2"/>
    <n v="5.0201634412273028"/>
    <n v="13.964389663379801"/>
    <n v="16.42298537912275"/>
    <n v="377.64845977011493"/>
    <n v="9.4010357987858075"/>
  </r>
  <r>
    <d v="2025-06-18T00:00:00"/>
    <s v="AD002"/>
    <x v="4"/>
    <x v="4"/>
    <x v="3"/>
    <n v="146202"/>
    <n v="11655"/>
    <n v="2425"/>
    <n v="1140"/>
    <n v="460"/>
    <n v="79710.710000000006"/>
    <x v="627"/>
    <x v="1"/>
    <n v="7.9718471703533469"/>
    <n v="6.8391857571857582"/>
    <n v="20.806520806520805"/>
    <n v="173.28415217391307"/>
    <n v="27.180567203579042"/>
  </r>
  <r>
    <d v="2025-06-19T00:00:00"/>
    <s v="AD002"/>
    <x v="4"/>
    <x v="4"/>
    <x v="3"/>
    <n v="169807"/>
    <n v="5900"/>
    <n v="1002"/>
    <n v="543"/>
    <n v="271"/>
    <n v="167493.6"/>
    <x v="628"/>
    <x v="0"/>
    <n v="3.4745328520025676"/>
    <n v="28.388745762711867"/>
    <n v="16.983050847457626"/>
    <n v="618.05756457564576"/>
    <n v="7.724230119837415"/>
  </r>
  <r>
    <d v="2025-06-20T00:00:00"/>
    <s v="AD002"/>
    <x v="4"/>
    <x v="4"/>
    <x v="3"/>
    <n v="51060"/>
    <n v="2259"/>
    <n v="559"/>
    <n v="276"/>
    <n v="121"/>
    <n v="41121.18"/>
    <x v="629"/>
    <x v="3"/>
    <n v="4.4242068155111633"/>
    <n v="18.203266932270918"/>
    <n v="24.745462594068172"/>
    <n v="339.84446280991733"/>
    <n v="13.536215886800914"/>
  </r>
  <r>
    <d v="2025-06-21T00:00:00"/>
    <s v="AD002"/>
    <x v="4"/>
    <x v="4"/>
    <x v="3"/>
    <n v="299910"/>
    <n v="23654"/>
    <n v="5219"/>
    <n v="2461"/>
    <n v="1471"/>
    <n v="147276.92000000001"/>
    <x v="630"/>
    <x v="2"/>
    <n v="7.8870327764996171"/>
    <n v="6.2263008370677273"/>
    <n v="22.063921535469689"/>
    <n v="100.12027192386132"/>
    <n v="47.807184655952881"/>
  </r>
  <r>
    <d v="2025-06-22T00:00:00"/>
    <s v="AD002"/>
    <x v="4"/>
    <x v="4"/>
    <x v="3"/>
    <n v="118757"/>
    <n v="6909"/>
    <n v="1251"/>
    <n v="711"/>
    <n v="363"/>
    <n v="97100.84"/>
    <x v="631"/>
    <x v="2"/>
    <n v="5.8177623213789502"/>
    <n v="14.054253871761469"/>
    <n v="18.106817194963092"/>
    <n v="267.49542699724515"/>
    <n v="28.154639856874567"/>
  </r>
  <r>
    <d v="2025-06-23T00:00:00"/>
    <s v="AD002"/>
    <x v="4"/>
    <x v="4"/>
    <x v="3"/>
    <n v="215965"/>
    <n v="16744"/>
    <n v="3264"/>
    <n v="1645"/>
    <n v="772"/>
    <n v="138966.79999999999"/>
    <x v="632"/>
    <x v="3"/>
    <n v="7.7531081425230939"/>
    <n v="8.2994983277591974"/>
    <n v="19.493549928332538"/>
    <n v="180.00880829015543"/>
    <n v="26.674821971866663"/>
  </r>
  <r>
    <d v="2025-06-24T00:00:00"/>
    <s v="AD002"/>
    <x v="4"/>
    <x v="4"/>
    <x v="3"/>
    <n v="251296"/>
    <n v="15390"/>
    <n v="3332"/>
    <n v="1741"/>
    <n v="721"/>
    <n v="235593.68"/>
    <x v="633"/>
    <x v="3"/>
    <n v="6.1242518782630846"/>
    <n v="15.308231319038336"/>
    <n v="21.650422352176736"/>
    <n v="326.75961165048545"/>
    <n v="21.522861776258175"/>
  </r>
  <r>
    <d v="2025-06-25T00:00:00"/>
    <s v="AD002"/>
    <x v="4"/>
    <x v="4"/>
    <x v="3"/>
    <n v="58479"/>
    <n v="3449"/>
    <n v="525"/>
    <n v="332"/>
    <n v="138"/>
    <n v="36555.379999999997"/>
    <x v="634"/>
    <x v="3"/>
    <n v="5.8978436703774006"/>
    <n v="10.598834444766599"/>
    <n v="15.22180342128153"/>
    <n v="264.89405797101449"/>
    <n v="25.839194394915332"/>
  </r>
  <r>
    <d v="2025-06-26T00:00:00"/>
    <s v="AD002"/>
    <x v="4"/>
    <x v="4"/>
    <x v="3"/>
    <n v="89905"/>
    <n v="4837"/>
    <n v="875"/>
    <n v="550"/>
    <n v="241"/>
    <n v="51333.26"/>
    <x v="635"/>
    <x v="3"/>
    <n v="5.3801234636560817"/>
    <n v="10.612623526979533"/>
    <n v="18.089725036179448"/>
    <n v="213.00107883817429"/>
    <n v="20.698166841537045"/>
  </r>
  <r>
    <d v="2025-06-27T00:00:00"/>
    <s v="AD002"/>
    <x v="4"/>
    <x v="4"/>
    <x v="3"/>
    <n v="92090"/>
    <n v="5092"/>
    <n v="879"/>
    <n v="474"/>
    <n v="260"/>
    <n v="84474.07"/>
    <x v="636"/>
    <x v="3"/>
    <n v="5.5293734390270393"/>
    <n v="16.589565985860173"/>
    <n v="17.262372348782403"/>
    <n v="324.90026923076925"/>
    <n v="17.117088119466718"/>
  </r>
  <r>
    <d v="2025-06-28T00:00:00"/>
    <s v="AD002"/>
    <x v="4"/>
    <x v="4"/>
    <x v="3"/>
    <n v="118966"/>
    <n v="6945"/>
    <n v="1680"/>
    <n v="1063"/>
    <n v="602"/>
    <n v="86687.2"/>
    <x v="637"/>
    <x v="1"/>
    <n v="5.8378023973236051"/>
    <n v="12.481958243340532"/>
    <n v="24.190064794816415"/>
    <n v="143.9986710963455"/>
    <n v="22.205310587953008"/>
  </r>
  <r>
    <d v="2025-06-29T00:00:00"/>
    <s v="AD002"/>
    <x v="4"/>
    <x v="4"/>
    <x v="3"/>
    <n v="54787"/>
    <n v="2701"/>
    <n v="414"/>
    <n v="256"/>
    <n v="108"/>
    <n v="23226.400000000001"/>
    <x v="638"/>
    <x v="3"/>
    <n v="4.9300016427254647"/>
    <n v="8.5991854868567206"/>
    <n v="15.327656423546834"/>
    <n v="215.05925925925928"/>
    <n v="27.537616677573791"/>
  </r>
  <r>
    <d v="2025-06-30T00:00:00"/>
    <s v="AD002"/>
    <x v="4"/>
    <x v="4"/>
    <x v="3"/>
    <n v="81314"/>
    <n v="3799"/>
    <n v="757"/>
    <n v="427"/>
    <n v="191"/>
    <n v="47760.639999999999"/>
    <x v="639"/>
    <x v="2"/>
    <n v="4.6720121996212214"/>
    <n v="12.571897867859963"/>
    <n v="19.92629639378784"/>
    <n v="250.05570680628273"/>
    <n v="22.728303263942863"/>
  </r>
  <r>
    <d v="2025-07-01T00:00:00"/>
    <s v="AD002"/>
    <x v="4"/>
    <x v="4"/>
    <x v="3"/>
    <n v="92036"/>
    <n v="5655"/>
    <n v="1370"/>
    <n v="718"/>
    <n v="314"/>
    <n v="63223.93"/>
    <x v="640"/>
    <x v="3"/>
    <n v="6.1443348255030639"/>
    <n v="11.180182139699381"/>
    <n v="24.226348364279399"/>
    <n v="201.35009554140129"/>
    <n v="21.620806552202623"/>
  </r>
  <r>
    <d v="2025-07-02T00:00:00"/>
    <s v="AD002"/>
    <x v="4"/>
    <x v="4"/>
    <x v="3"/>
    <n v="269403"/>
    <n v="18663"/>
    <n v="4144"/>
    <n v="2502"/>
    <n v="1360"/>
    <n v="150891.95000000001"/>
    <x v="641"/>
    <x v="4"/>
    <n v="6.9275397824077682"/>
    <n v="8.0850854632159894"/>
    <n v="22.204361571022879"/>
    <n v="110.94996323529412"/>
    <n v="54.222815199883094"/>
  </r>
  <r>
    <d v="2025-07-03T00:00:00"/>
    <s v="AD002"/>
    <x v="4"/>
    <x v="4"/>
    <x v="3"/>
    <n v="56759"/>
    <n v="4315"/>
    <n v="975"/>
    <n v="572"/>
    <n v="279"/>
    <n v="47812.04"/>
    <x v="642"/>
    <x v="3"/>
    <n v="7.6023185750277484"/>
    <n v="11.080426419466976"/>
    <n v="22.595596755504054"/>
    <n v="171.36931899641579"/>
    <n v="29.319902267295017"/>
  </r>
  <r>
    <d v="2025-07-04T00:00:00"/>
    <s v="AD002"/>
    <x v="4"/>
    <x v="4"/>
    <x v="3"/>
    <n v="294725"/>
    <n v="14169"/>
    <n v="3083"/>
    <n v="1956"/>
    <n v="783"/>
    <n v="267573.94"/>
    <x v="643"/>
    <x v="2"/>
    <n v="4.8075324455000423"/>
    <n v="18.884461853341804"/>
    <n v="21.75876914390571"/>
    <n v="341.72916985951468"/>
    <n v="9.1595302965602698"/>
  </r>
  <r>
    <d v="2025-07-05T00:00:00"/>
    <s v="AD002"/>
    <x v="4"/>
    <x v="4"/>
    <x v="3"/>
    <n v="284349"/>
    <n v="9408"/>
    <n v="1926"/>
    <n v="1228"/>
    <n v="734"/>
    <n v="145135.47"/>
    <x v="644"/>
    <x v="3"/>
    <n v="3.3086101938111261"/>
    <n v="15.426814413265307"/>
    <n v="20.471938775510203"/>
    <n v="197.73224795640328"/>
    <n v="21.815100264601067"/>
  </r>
  <r>
    <d v="2025-07-06T00:00:00"/>
    <s v="AD002"/>
    <x v="4"/>
    <x v="4"/>
    <x v="3"/>
    <n v="215773"/>
    <n v="11011"/>
    <n v="2592"/>
    <n v="1638"/>
    <n v="787"/>
    <n v="114990.31"/>
    <x v="645"/>
    <x v="2"/>
    <n v="5.1030481107460153"/>
    <n v="10.443221324130414"/>
    <n v="23.540096267368995"/>
    <n v="146.11221092757305"/>
    <n v="34.401702978277044"/>
  </r>
  <r>
    <d v="2025-07-07T00:00:00"/>
    <s v="AD002"/>
    <x v="4"/>
    <x v="4"/>
    <x v="3"/>
    <n v="265814"/>
    <n v="18135"/>
    <n v="3413"/>
    <n v="1802"/>
    <n v="979"/>
    <n v="178983.87"/>
    <x v="646"/>
    <x v="3"/>
    <n v="6.822439751104155"/>
    <n v="9.8695268817204305"/>
    <n v="18.819961400606562"/>
    <n v="182.82315628192032"/>
    <n v="27.631637085509436"/>
  </r>
  <r>
    <d v="2025-07-08T00:00:00"/>
    <s v="AD002"/>
    <x v="4"/>
    <x v="4"/>
    <x v="3"/>
    <n v="254425"/>
    <n v="11942"/>
    <n v="2510"/>
    <n v="1384"/>
    <n v="700"/>
    <n v="163582.32"/>
    <x v="647"/>
    <x v="1"/>
    <n v="4.6937211358946644"/>
    <n v="13.69806732540613"/>
    <n v="21.01825489867694"/>
    <n v="233.68902857142859"/>
    <n v="33.541835327925412"/>
  </r>
  <r>
    <d v="2025-07-09T00:00:00"/>
    <s v="AD002"/>
    <x v="4"/>
    <x v="4"/>
    <x v="3"/>
    <n v="259369"/>
    <n v="9336"/>
    <n v="2252"/>
    <n v="1107"/>
    <n v="588"/>
    <n v="154589.95000000001"/>
    <x v="648"/>
    <x v="4"/>
    <n v="3.5995049524037181"/>
    <n v="16.55847793487575"/>
    <n v="24.121679520137103"/>
    <n v="262.90807823129256"/>
    <n v="22.634460843023753"/>
  </r>
  <r>
    <d v="2025-07-10T00:00:00"/>
    <s v="AD002"/>
    <x v="4"/>
    <x v="4"/>
    <x v="3"/>
    <n v="221044"/>
    <n v="13069"/>
    <n v="2745"/>
    <n v="1298"/>
    <n v="558"/>
    <n v="160690.04999999999"/>
    <x v="649"/>
    <x v="1"/>
    <n v="5.9123975317131432"/>
    <n v="12.295512280970234"/>
    <n v="21.003902364373708"/>
    <n v="287.97499999999997"/>
    <n v="20.139315657690069"/>
  </r>
  <r>
    <d v="2025-07-11T00:00:00"/>
    <s v="AD002"/>
    <x v="4"/>
    <x v="4"/>
    <x v="3"/>
    <n v="94706"/>
    <n v="5747"/>
    <n v="890"/>
    <n v="494"/>
    <n v="278"/>
    <n v="65416.27"/>
    <x v="650"/>
    <x v="3"/>
    <n v="6.068253331362321"/>
    <n v="11.382681398990778"/>
    <n v="15.486340699495388"/>
    <n v="235.31032374100718"/>
    <n v="32.783288010765517"/>
  </r>
  <r>
    <d v="2025-07-12T00:00:00"/>
    <s v="AD002"/>
    <x v="4"/>
    <x v="4"/>
    <x v="3"/>
    <n v="176503"/>
    <n v="10957"/>
    <n v="1846"/>
    <n v="985"/>
    <n v="397"/>
    <n v="145083.42000000001"/>
    <x v="651"/>
    <x v="2"/>
    <n v="6.207826495866926"/>
    <n v="13.241162727023822"/>
    <n v="16.847677283928082"/>
    <n v="365.44942065491188"/>
    <n v="10.121050358476523"/>
  </r>
  <r>
    <d v="2025-07-13T00:00:00"/>
    <s v="AD002"/>
    <x v="4"/>
    <x v="4"/>
    <x v="3"/>
    <n v="237358"/>
    <n v="14516"/>
    <n v="2484"/>
    <n v="1272"/>
    <n v="548"/>
    <n v="133175.25"/>
    <x v="652"/>
    <x v="4"/>
    <n v="6.1156565188449514"/>
    <n v="9.1743765500137773"/>
    <n v="17.112152108018737"/>
    <n v="243.02052919708029"/>
    <n v="31.746071586124295"/>
  </r>
  <r>
    <d v="2025-07-14T00:00:00"/>
    <s v="AD002"/>
    <x v="4"/>
    <x v="4"/>
    <x v="3"/>
    <n v="50848"/>
    <n v="3877"/>
    <n v="825"/>
    <n v="405"/>
    <n v="190"/>
    <n v="43221.5"/>
    <x v="653"/>
    <x v="0"/>
    <n v="7.6246853366897422"/>
    <n v="11.148181583698737"/>
    <n v="21.27933969564096"/>
    <n v="227.48157894736843"/>
    <n v="30.623670858253416"/>
  </r>
  <r>
    <d v="2025-07-15T00:00:00"/>
    <s v="AD002"/>
    <x v="4"/>
    <x v="4"/>
    <x v="3"/>
    <n v="96272"/>
    <n v="7109"/>
    <n v="1160"/>
    <n v="673"/>
    <n v="373"/>
    <n v="61170.400000000001"/>
    <x v="654"/>
    <x v="3"/>
    <n v="7.3842861891307967"/>
    <n v="8.6046420030946695"/>
    <n v="16.317344211562805"/>
    <n v="163.99571045576408"/>
    <n v="26.895310640440471"/>
  </r>
  <r>
    <d v="2025-07-16T00:00:00"/>
    <s v="AD002"/>
    <x v="4"/>
    <x v="4"/>
    <x v="3"/>
    <n v="163136"/>
    <n v="7760"/>
    <n v="1293"/>
    <n v="616"/>
    <n v="309"/>
    <n v="81536.179999999993"/>
    <x v="655"/>
    <x v="4"/>
    <n v="4.7567673597489213"/>
    <n v="10.507239690721649"/>
    <n v="16.662371134020617"/>
    <n v="263.87113268608414"/>
    <n v="24.489834696695382"/>
  </r>
  <r>
    <d v="2025-07-17T00:00:00"/>
    <s v="AD002"/>
    <x v="4"/>
    <x v="4"/>
    <x v="3"/>
    <n v="224881"/>
    <n v="13220"/>
    <n v="2919"/>
    <n v="1678"/>
    <n v="726"/>
    <n v="209811.4"/>
    <x v="656"/>
    <x v="4"/>
    <n v="5.8786647160053533"/>
    <n v="15.870756429652042"/>
    <n v="22.080181543116488"/>
    <n v="288.99641873278239"/>
    <n v="19.326813271347508"/>
  </r>
  <r>
    <d v="2025-07-18T00:00:00"/>
    <s v="AD002"/>
    <x v="4"/>
    <x v="4"/>
    <x v="3"/>
    <n v="107896"/>
    <n v="6609"/>
    <n v="1436"/>
    <n v="892"/>
    <n v="459"/>
    <n v="104215.29"/>
    <x v="657"/>
    <x v="2"/>
    <n v="6.1253429228145615"/>
    <n v="15.768692691783929"/>
    <n v="21.7279467392949"/>
    <n v="227.04856209150324"/>
    <n v="22.718002511915483"/>
  </r>
  <r>
    <d v="2025-07-19T00:00:00"/>
    <s v="AD002"/>
    <x v="4"/>
    <x v="4"/>
    <x v="3"/>
    <n v="100529"/>
    <n v="3042"/>
    <n v="580"/>
    <n v="326"/>
    <n v="173"/>
    <n v="52428"/>
    <x v="658"/>
    <x v="2"/>
    <n v="3.0259924996767102"/>
    <n v="17.234714003944774"/>
    <n v="19.066403681788298"/>
    <n v="303.05202312138726"/>
    <n v="24.220001525902191"/>
  </r>
  <r>
    <d v="2025-07-20T00:00:00"/>
    <s v="AD002"/>
    <x v="4"/>
    <x v="4"/>
    <x v="3"/>
    <n v="59847"/>
    <n v="4601"/>
    <n v="734"/>
    <n v="338"/>
    <n v="157"/>
    <n v="24579.52"/>
    <x v="659"/>
    <x v="1"/>
    <n v="7.6879375741474094"/>
    <n v="5.3422125624864165"/>
    <n v="15.953053683981743"/>
    <n v="156.55745222929937"/>
    <n v="21.345115364335836"/>
  </r>
  <r>
    <d v="2025-07-21T00:00:00"/>
    <s v="AD002"/>
    <x v="4"/>
    <x v="4"/>
    <x v="3"/>
    <n v="183044"/>
    <n v="9780"/>
    <n v="2113"/>
    <n v="1094"/>
    <n v="518"/>
    <n v="149648.03"/>
    <x v="660"/>
    <x v="2"/>
    <n v="5.3429776447193023"/>
    <n v="15.301434560327198"/>
    <n v="21.605316973415135"/>
    <n v="288.89581081081081"/>
    <n v="14.268314323950673"/>
  </r>
  <r>
    <d v="2025-07-22T00:00:00"/>
    <s v="AD002"/>
    <x v="4"/>
    <x v="4"/>
    <x v="3"/>
    <n v="295519"/>
    <n v="20154"/>
    <n v="3461"/>
    <n v="1995"/>
    <n v="1138"/>
    <n v="221471.19"/>
    <x v="661"/>
    <x v="1"/>
    <n v="6.8198660661412625"/>
    <n v="10.988944626376899"/>
    <n v="17.172769673513944"/>
    <n v="194.61440246045694"/>
    <n v="38.631525481937402"/>
  </r>
  <r>
    <d v="2025-07-23T00:00:00"/>
    <s v="AD002"/>
    <x v="4"/>
    <x v="4"/>
    <x v="3"/>
    <n v="102281"/>
    <n v="7277"/>
    <n v="1524"/>
    <n v="814"/>
    <n v="398"/>
    <n v="41674.82"/>
    <x v="662"/>
    <x v="1"/>
    <n v="7.1147133876282007"/>
    <n v="5.7269231826302045"/>
    <n v="20.942696166002474"/>
    <n v="104.71060301507538"/>
    <n v="53.93059238168275"/>
  </r>
  <r>
    <d v="2025-07-24T00:00:00"/>
    <s v="AD002"/>
    <x v="4"/>
    <x v="4"/>
    <x v="3"/>
    <n v="69228"/>
    <n v="2248"/>
    <n v="378"/>
    <n v="231"/>
    <n v="127"/>
    <n v="47888.71"/>
    <x v="663"/>
    <x v="1"/>
    <n v="3.2472410007511407"/>
    <n v="21.302806939501778"/>
    <n v="16.814946619217082"/>
    <n v="377.07645669291338"/>
    <n v="20.479360166519417"/>
  </r>
  <r>
    <d v="2025-07-25T00:00:00"/>
    <s v="AD002"/>
    <x v="4"/>
    <x v="4"/>
    <x v="3"/>
    <n v="195078"/>
    <n v="11378"/>
    <n v="2824"/>
    <n v="1362"/>
    <n v="720"/>
    <n v="101190.07"/>
    <x v="664"/>
    <x v="1"/>
    <n v="5.8325387793600507"/>
    <n v="8.8934847952188445"/>
    <n v="24.819827737739498"/>
    <n v="140.54176388888891"/>
    <n v="44.204157977161195"/>
  </r>
  <r>
    <d v="2025-07-26T00:00:00"/>
    <s v="AD002"/>
    <x v="4"/>
    <x v="4"/>
    <x v="3"/>
    <n v="98148"/>
    <n v="6924"/>
    <n v="1556"/>
    <n v="839"/>
    <n v="415"/>
    <n v="82010.11"/>
    <x v="665"/>
    <x v="2"/>
    <n v="7.0546521579655215"/>
    <n v="11.844325534373194"/>
    <n v="22.472559214326978"/>
    <n v="197.61472289156626"/>
    <n v="32.797339498752045"/>
  </r>
  <r>
    <d v="2025-07-27T00:00:00"/>
    <s v="AD002"/>
    <x v="4"/>
    <x v="4"/>
    <x v="3"/>
    <n v="288669"/>
    <n v="16685"/>
    <n v="2685"/>
    <n v="1692"/>
    <n v="697"/>
    <n v="197363.38"/>
    <x v="666"/>
    <x v="0"/>
    <n v="5.7799763743249191"/>
    <n v="11.828791129757267"/>
    <n v="16.092298471681151"/>
    <n v="283.16123385939744"/>
    <n v="11.482745177955504"/>
  </r>
  <r>
    <d v="2025-07-28T00:00:00"/>
    <s v="AD002"/>
    <x v="4"/>
    <x v="4"/>
    <x v="3"/>
    <n v="228940"/>
    <n v="7307"/>
    <n v="1297"/>
    <n v="812"/>
    <n v="445"/>
    <n v="100965.24"/>
    <x v="667"/>
    <x v="4"/>
    <n v="3.1916659386738884"/>
    <n v="13.817605036266594"/>
    <n v="17.75010264130286"/>
    <n v="226.88817977528092"/>
    <n v="18.18351008723398"/>
  </r>
  <r>
    <d v="2025-07-29T00:00:00"/>
    <s v="AD002"/>
    <x v="4"/>
    <x v="4"/>
    <x v="3"/>
    <n v="103373"/>
    <n v="6280"/>
    <n v="1324"/>
    <n v="665"/>
    <n v="319"/>
    <n v="91234.94"/>
    <x v="668"/>
    <x v="3"/>
    <n v="6.0750873051957477"/>
    <n v="14.52785668789809"/>
    <n v="21.082802547770701"/>
    <n v="286.00294670846398"/>
    <n v="14.661705920999127"/>
  </r>
  <r>
    <d v="2025-07-30T00:00:00"/>
    <s v="AD002"/>
    <x v="4"/>
    <x v="4"/>
    <x v="3"/>
    <n v="183663"/>
    <n v="7335"/>
    <n v="1401"/>
    <n v="843"/>
    <n v="357"/>
    <n v="159534.43"/>
    <x v="669"/>
    <x v="3"/>
    <n v="3.993727642475621"/>
    <n v="21.74975187457396"/>
    <n v="19.100204498977504"/>
    <n v="446.87515406162464"/>
    <n v="15.077699403194661"/>
  </r>
  <r>
    <d v="2025-07-31T00:00:00"/>
    <s v="AD002"/>
    <x v="4"/>
    <x v="4"/>
    <x v="3"/>
    <n v="125289"/>
    <n v="5916"/>
    <n v="1354"/>
    <n v="610"/>
    <n v="295"/>
    <n v="81381.38"/>
    <x v="670"/>
    <x v="1"/>
    <n v="4.7218830064889969"/>
    <n v="13.756149425287358"/>
    <n v="22.88708586883029"/>
    <n v="275.86908474576273"/>
    <n v="24.694911661611044"/>
  </r>
  <r>
    <d v="2025-08-01T00:00:00"/>
    <s v="AD002"/>
    <x v="4"/>
    <x v="4"/>
    <x v="3"/>
    <n v="82289"/>
    <n v="2865"/>
    <n v="627"/>
    <n v="344"/>
    <n v="153"/>
    <n v="72603.02"/>
    <x v="671"/>
    <x v="3"/>
    <n v="3.4816318098409265"/>
    <n v="25.341368237347297"/>
    <n v="21.8848167539267"/>
    <n v="474.52954248366018"/>
    <n v="10.895834636079876"/>
  </r>
  <r>
    <d v="2025-08-02T00:00:00"/>
    <s v="AD002"/>
    <x v="4"/>
    <x v="4"/>
    <x v="3"/>
    <n v="122204"/>
    <n v="4702"/>
    <n v="1151"/>
    <n v="571"/>
    <n v="334"/>
    <n v="64654.83"/>
    <x v="672"/>
    <x v="4"/>
    <n v="3.8476645608981701"/>
    <n v="13.750495533815398"/>
    <n v="24.478945129732029"/>
    <n v="193.57733532934131"/>
    <n v="17.124791914231309"/>
  </r>
  <r>
    <d v="2025-08-03T00:00:00"/>
    <s v="AD002"/>
    <x v="4"/>
    <x v="4"/>
    <x v="3"/>
    <n v="282568"/>
    <n v="20991"/>
    <n v="3160"/>
    <n v="1720"/>
    <n v="1027"/>
    <n v="254928.95"/>
    <x v="673"/>
    <x v="1"/>
    <n v="7.428654341609807"/>
    <n v="12.144678671811729"/>
    <n v="15.054070792244294"/>
    <n v="248.22682570593963"/>
    <n v="18.409213429859573"/>
  </r>
  <r>
    <d v="2025-08-04T00:00:00"/>
    <s v="AD002"/>
    <x v="4"/>
    <x v="4"/>
    <x v="3"/>
    <n v="276741"/>
    <n v="8329"/>
    <n v="2013"/>
    <n v="1048"/>
    <n v="550"/>
    <n v="241422.3"/>
    <x v="674"/>
    <x v="0"/>
    <n v="3.0096733046422468"/>
    <n v="28.985748589266418"/>
    <n v="24.168567655180695"/>
    <n v="438.94963636363633"/>
    <n v="13.330367865768821"/>
  </r>
  <r>
    <d v="2025-08-05T00:00:00"/>
    <s v="AD002"/>
    <x v="4"/>
    <x v="4"/>
    <x v="3"/>
    <n v="276190"/>
    <n v="8837"/>
    <n v="1345"/>
    <n v="850"/>
    <n v="400"/>
    <n v="258734.91"/>
    <x v="675"/>
    <x v="0"/>
    <n v="3.1996089648430424"/>
    <n v="29.278591150843045"/>
    <n v="15.220097318094375"/>
    <n v="646.83727499999998"/>
    <n v="6.1990453085747106"/>
  </r>
  <r>
    <d v="2025-08-06T00:00:00"/>
    <s v="AD002"/>
    <x v="4"/>
    <x v="4"/>
    <x v="3"/>
    <n v="157823"/>
    <n v="7462"/>
    <n v="1653"/>
    <n v="1051"/>
    <n v="551"/>
    <n v="152142.20000000001"/>
    <x v="676"/>
    <x v="0"/>
    <n v="4.7280814583425732"/>
    <n v="20.388930581613511"/>
    <n v="22.152238005896542"/>
    <n v="276.12014519056265"/>
    <n v="14.90361162123329"/>
  </r>
  <r>
    <d v="2025-08-07T00:00:00"/>
    <s v="AD002"/>
    <x v="4"/>
    <x v="4"/>
    <x v="3"/>
    <n v="168164"/>
    <n v="12919"/>
    <n v="3045"/>
    <n v="1753"/>
    <n v="778"/>
    <n v="141390.10999999999"/>
    <x v="677"/>
    <x v="0"/>
    <n v="7.6823814847410858"/>
    <n v="10.944354052171219"/>
    <n v="23.569935753541298"/>
    <n v="181.73535989717223"/>
    <n v="21.644354969382231"/>
  </r>
  <r>
    <d v="2025-08-08T00:00:00"/>
    <s v="AD002"/>
    <x v="4"/>
    <x v="4"/>
    <x v="3"/>
    <n v="196818"/>
    <n v="10477"/>
    <n v="1940"/>
    <n v="1106"/>
    <n v="531"/>
    <n v="148549.07"/>
    <x v="678"/>
    <x v="4"/>
    <n v="5.3231919844729649"/>
    <n v="14.178588336355828"/>
    <n v="18.516750978333494"/>
    <n v="279.75342749529193"/>
    <n v="28.156184485032455"/>
  </r>
  <r>
    <d v="2025-08-09T00:00:00"/>
    <s v="AD002"/>
    <x v="4"/>
    <x v="4"/>
    <x v="3"/>
    <n v="87549"/>
    <n v="4272"/>
    <n v="877"/>
    <n v="466"/>
    <n v="259"/>
    <n v="55978.68"/>
    <x v="679"/>
    <x v="1"/>
    <n v="4.8795531645135863"/>
    <n v="13.103623595505619"/>
    <n v="20.529026217228463"/>
    <n v="216.13389961389962"/>
    <n v="22.596331853484219"/>
  </r>
  <r>
    <d v="2025-08-10T00:00:00"/>
    <s v="AD002"/>
    <x v="4"/>
    <x v="4"/>
    <x v="3"/>
    <n v="209975"/>
    <n v="7033"/>
    <n v="1633"/>
    <n v="987"/>
    <n v="489"/>
    <n v="104015.44"/>
    <x v="680"/>
    <x v="0"/>
    <n v="3.3494463626622215"/>
    <n v="14.789626048627897"/>
    <n v="23.219109910422294"/>
    <n v="212.71051124744378"/>
    <n v="36.413723481821549"/>
  </r>
  <r>
    <d v="2025-08-11T00:00:00"/>
    <s v="AD002"/>
    <x v="4"/>
    <x v="4"/>
    <x v="3"/>
    <n v="248579"/>
    <n v="16137"/>
    <n v="3772"/>
    <n v="2122"/>
    <n v="1032"/>
    <n v="155529.26"/>
    <x v="681"/>
    <x v="1"/>
    <n v="6.491698816070544"/>
    <n v="9.6380529218566036"/>
    <n v="23.374852822705584"/>
    <n v="150.70664728682172"/>
    <n v="23.828449707791318"/>
  </r>
  <r>
    <d v="2025-08-12T00:00:00"/>
    <s v="AD002"/>
    <x v="4"/>
    <x v="4"/>
    <x v="3"/>
    <n v="105929"/>
    <n v="6513"/>
    <n v="1176"/>
    <n v="544"/>
    <n v="290"/>
    <n v="45471.22"/>
    <x v="682"/>
    <x v="1"/>
    <n v="6.1484579293677841"/>
    <n v="6.981609089513281"/>
    <n v="18.056195301704285"/>
    <n v="156.79731034482759"/>
    <n v="40.52326592512803"/>
  </r>
  <r>
    <d v="2025-08-13T00:00:00"/>
    <s v="AD002"/>
    <x v="4"/>
    <x v="4"/>
    <x v="3"/>
    <n v="285906"/>
    <n v="22490"/>
    <n v="5143"/>
    <n v="2920"/>
    <n v="1595"/>
    <n v="142184.53"/>
    <x v="683"/>
    <x v="1"/>
    <n v="7.8662217651955535"/>
    <n v="6.322122276567363"/>
    <n v="22.867941307247666"/>
    <n v="89.143905956112846"/>
    <n v="36.167779152907841"/>
  </r>
  <r>
    <d v="2025-08-14T00:00:00"/>
    <s v="AD002"/>
    <x v="4"/>
    <x v="4"/>
    <x v="3"/>
    <n v="114829"/>
    <n v="6699"/>
    <n v="1279"/>
    <n v="675"/>
    <n v="334"/>
    <n v="87179.3"/>
    <x v="684"/>
    <x v="0"/>
    <n v="5.8338921352619986"/>
    <n v="13.013778175847142"/>
    <n v="19.09240185102254"/>
    <n v="261.01586826347307"/>
    <n v="24.282157232278767"/>
  </r>
  <r>
    <d v="2025-08-15T00:00:00"/>
    <s v="AD002"/>
    <x v="4"/>
    <x v="4"/>
    <x v="3"/>
    <n v="139439"/>
    <n v="8820"/>
    <n v="2115"/>
    <n v="1244"/>
    <n v="610"/>
    <n v="68482.23"/>
    <x v="685"/>
    <x v="2"/>
    <n v="6.3253465673161742"/>
    <n v="7.7644251700680265"/>
    <n v="23.979591836734691"/>
    <n v="112.26595081967213"/>
    <n v="43.301338317984097"/>
  </r>
  <r>
    <d v="2025-08-16T00:00:00"/>
    <s v="AD002"/>
    <x v="4"/>
    <x v="4"/>
    <x v="3"/>
    <n v="156143"/>
    <n v="12051"/>
    <n v="2488"/>
    <n v="1574"/>
    <n v="776"/>
    <n v="67878.95"/>
    <x v="686"/>
    <x v="1"/>
    <n v="7.7179252352010659"/>
    <n v="5.6326404447763672"/>
    <n v="20.645589577628414"/>
    <n v="87.472873711340199"/>
    <n v="91.390628906310425"/>
  </r>
  <r>
    <d v="2025-08-17T00:00:00"/>
    <s v="AD002"/>
    <x v="4"/>
    <x v="4"/>
    <x v="3"/>
    <n v="240812"/>
    <n v="8480"/>
    <n v="1398"/>
    <n v="794"/>
    <n v="351"/>
    <n v="97560.76"/>
    <x v="687"/>
    <x v="2"/>
    <n v="3.5214191983788181"/>
    <n v="11.504806603773584"/>
    <n v="16.485849056603776"/>
    <n v="277.95088319088319"/>
    <n v="25.672153845459999"/>
  </r>
  <r>
    <d v="2025-08-18T00:00:00"/>
    <s v="AD002"/>
    <x v="4"/>
    <x v="4"/>
    <x v="3"/>
    <n v="138243"/>
    <n v="8910"/>
    <n v="1845"/>
    <n v="909"/>
    <n v="537"/>
    <n v="101458.77"/>
    <x v="688"/>
    <x v="4"/>
    <n v="6.4451726308022828"/>
    <n v="11.38706734006734"/>
    <n v="20.707070707070706"/>
    <n v="188.93625698324024"/>
    <n v="33.730529948273571"/>
  </r>
  <r>
    <d v="2025-08-19T00:00:00"/>
    <s v="AD002"/>
    <x v="4"/>
    <x v="4"/>
    <x v="3"/>
    <n v="218087"/>
    <n v="9347"/>
    <n v="2279"/>
    <n v="1102"/>
    <n v="475"/>
    <n v="204860.79"/>
    <x v="689"/>
    <x v="2"/>
    <n v="4.285904249221641"/>
    <n v="21.917277201241042"/>
    <n v="24.382154702043437"/>
    <n v="431.28587368421057"/>
    <n v="14.326250572400896"/>
  </r>
  <r>
    <d v="2025-08-20T00:00:00"/>
    <s v="AD002"/>
    <x v="4"/>
    <x v="4"/>
    <x v="3"/>
    <n v="120567"/>
    <n v="7874"/>
    <n v="1738"/>
    <n v="882"/>
    <n v="513"/>
    <n v="85980.89"/>
    <x v="690"/>
    <x v="2"/>
    <n v="6.5308085960503286"/>
    <n v="10.919594869189739"/>
    <n v="22.07264414528829"/>
    <n v="167.60407407407408"/>
    <n v="29.239877372751085"/>
  </r>
  <r>
    <d v="2025-08-21T00:00:00"/>
    <s v="AD002"/>
    <x v="4"/>
    <x v="4"/>
    <x v="3"/>
    <n v="60672"/>
    <n v="4419"/>
    <n v="871"/>
    <n v="435"/>
    <n v="245"/>
    <n v="51458.58"/>
    <x v="691"/>
    <x v="1"/>
    <n v="7.2834256329113929"/>
    <n v="11.644847250509166"/>
    <n v="19.710341706268387"/>
    <n v="210.03502040816326"/>
    <n v="17.251620818141504"/>
  </r>
  <r>
    <d v="2025-08-22T00:00:00"/>
    <s v="AD002"/>
    <x v="4"/>
    <x v="4"/>
    <x v="3"/>
    <n v="100402"/>
    <n v="5050"/>
    <n v="816"/>
    <n v="428"/>
    <n v="214"/>
    <n v="59444.37"/>
    <x v="692"/>
    <x v="4"/>
    <n v="5.0297802832612897"/>
    <n v="11.771162376237625"/>
    <n v="16.158415841584159"/>
    <n v="277.77742990654207"/>
    <n v="14.017420152657012"/>
  </r>
  <r>
    <d v="2025-08-23T00:00:00"/>
    <s v="AD002"/>
    <x v="4"/>
    <x v="4"/>
    <x v="3"/>
    <n v="182510"/>
    <n v="10026"/>
    <n v="2101"/>
    <n v="1067"/>
    <n v="537"/>
    <n v="125713.35"/>
    <x v="693"/>
    <x v="2"/>
    <n v="5.4933976220481062"/>
    <n v="12.538734290843808"/>
    <n v="20.955515659285854"/>
    <n v="234.10307262569833"/>
    <n v="30.959671745284009"/>
  </r>
  <r>
    <d v="2025-08-24T00:00:00"/>
    <s v="AD002"/>
    <x v="4"/>
    <x v="4"/>
    <x v="3"/>
    <n v="91784"/>
    <n v="5762"/>
    <n v="1342"/>
    <n v="834"/>
    <n v="453"/>
    <n v="53692.75"/>
    <x v="694"/>
    <x v="2"/>
    <n v="6.2777826200644995"/>
    <n v="9.3184224227698724"/>
    <n v="23.290524123568204"/>
    <n v="118.52704194260485"/>
    <n v="45.531873483850241"/>
  </r>
  <r>
    <d v="2025-08-25T00:00:00"/>
    <s v="AD002"/>
    <x v="4"/>
    <x v="4"/>
    <x v="3"/>
    <n v="277958"/>
    <n v="10817"/>
    <n v="2519"/>
    <n v="1222"/>
    <n v="546"/>
    <n v="258352.11"/>
    <x v="695"/>
    <x v="0"/>
    <n v="3.8915951330776593"/>
    <n v="23.883896644171212"/>
    <n v="23.28741795322178"/>
    <n v="473.1723626373626"/>
    <n v="12.260720494986474"/>
  </r>
  <r>
    <d v="2025-08-26T00:00:00"/>
    <s v="AD002"/>
    <x v="4"/>
    <x v="4"/>
    <x v="3"/>
    <n v="192183"/>
    <n v="10955"/>
    <n v="1911"/>
    <n v="982"/>
    <n v="531"/>
    <n v="99989.22"/>
    <x v="696"/>
    <x v="4"/>
    <n v="5.7002960719730673"/>
    <n v="9.127267914194432"/>
    <n v="17.444089456869012"/>
    <n v="188.30361581920903"/>
    <n v="27.221731302634424"/>
  </r>
  <r>
    <d v="2025-08-27T00:00:00"/>
    <s v="AD002"/>
    <x v="4"/>
    <x v="4"/>
    <x v="3"/>
    <n v="263391"/>
    <n v="15760"/>
    <n v="2389"/>
    <n v="1303"/>
    <n v="686"/>
    <n v="138918.72"/>
    <x v="697"/>
    <x v="0"/>
    <n v="5.9834998158631088"/>
    <n v="8.8146395939086304"/>
    <n v="15.158629441624367"/>
    <n v="202.50542274052478"/>
    <n v="24.664001223161286"/>
  </r>
  <r>
    <d v="2025-08-28T00:00:00"/>
    <s v="AD002"/>
    <x v="4"/>
    <x v="4"/>
    <x v="3"/>
    <n v="272021"/>
    <n v="16255"/>
    <n v="3053"/>
    <n v="1496"/>
    <n v="719"/>
    <n v="201326.36"/>
    <x v="698"/>
    <x v="3"/>
    <n v="5.9756415864951604"/>
    <n v="12.385503537373115"/>
    <n v="18.781913257459244"/>
    <n v="280.00884561891513"/>
    <n v="13.254493450336062"/>
  </r>
  <r>
    <d v="2025-08-29T00:00:00"/>
    <s v="AD002"/>
    <x v="4"/>
    <x v="4"/>
    <x v="3"/>
    <n v="156442"/>
    <n v="5047"/>
    <n v="1081"/>
    <n v="616"/>
    <n v="364"/>
    <n v="81569.7"/>
    <x v="699"/>
    <x v="1"/>
    <n v="3.2261157489676688"/>
    <n v="16.162017039825638"/>
    <n v="21.418664553199921"/>
    <n v="224.09258241758241"/>
    <n v="21.826763982213986"/>
  </r>
  <r>
    <d v="2025-08-30T00:00:00"/>
    <s v="AD002"/>
    <x v="4"/>
    <x v="4"/>
    <x v="3"/>
    <n v="247071"/>
    <n v="14991"/>
    <n v="3641"/>
    <n v="1717"/>
    <n v="746"/>
    <n v="196671.42"/>
    <x v="700"/>
    <x v="1"/>
    <n v="6.0674866738710733"/>
    <n v="13.11929957974785"/>
    <n v="24.287906076979521"/>
    <n v="263.63461126005365"/>
    <n v="28.860377577992775"/>
  </r>
  <r>
    <d v="2025-08-31T00:00:00"/>
    <s v="AD002"/>
    <x v="4"/>
    <x v="4"/>
    <x v="3"/>
    <n v="250143"/>
    <n v="13827"/>
    <n v="2421"/>
    <n v="1432"/>
    <n v="812"/>
    <n v="246806.14"/>
    <x v="701"/>
    <x v="2"/>
    <n v="5.5276381909547743"/>
    <n v="17.849579807622767"/>
    <n v="17.509221089173359"/>
    <n v="303.94844827586206"/>
    <n v="17.04246324665991"/>
  </r>
  <r>
    <d v="2025-09-01T00:00:00"/>
    <s v="AD002"/>
    <x v="4"/>
    <x v="4"/>
    <x v="3"/>
    <n v="107058"/>
    <n v="3243"/>
    <n v="768"/>
    <n v="451"/>
    <n v="183"/>
    <n v="93964.07"/>
    <x v="702"/>
    <x v="4"/>
    <n v="3.0291991257075606"/>
    <n v="28.974427998766576"/>
    <n v="23.681776133209993"/>
    <n v="513.4648633879782"/>
    <n v="12.791198593249526"/>
  </r>
  <r>
    <d v="2025-09-02T00:00:00"/>
    <s v="AD002"/>
    <x v="4"/>
    <x v="4"/>
    <x v="3"/>
    <n v="70747"/>
    <n v="4626"/>
    <n v="1107"/>
    <n v="534"/>
    <n v="275"/>
    <n v="61069.08"/>
    <x v="703"/>
    <x v="4"/>
    <n v="6.5387931643744608"/>
    <n v="13.201271076523994"/>
    <n v="23.929961089494164"/>
    <n v="222.06938181818182"/>
    <n v="15.451741208480625"/>
  </r>
  <r>
    <d v="2025-09-03T00:00:00"/>
    <s v="AD002"/>
    <x v="4"/>
    <x v="4"/>
    <x v="3"/>
    <n v="239227"/>
    <n v="14680"/>
    <n v="3320"/>
    <n v="1838"/>
    <n v="874"/>
    <n v="144170.21"/>
    <x v="704"/>
    <x v="3"/>
    <n v="6.1364310884640947"/>
    <n v="9.8208589918256131"/>
    <n v="22.615803814713896"/>
    <n v="164.95447368421051"/>
    <n v="42.470429640076134"/>
  </r>
  <r>
    <d v="2025-09-04T00:00:00"/>
    <s v="AD002"/>
    <x v="4"/>
    <x v="4"/>
    <x v="3"/>
    <n v="205200"/>
    <n v="14587"/>
    <n v="2970"/>
    <n v="1688"/>
    <n v="853"/>
    <n v="110816.95"/>
    <x v="705"/>
    <x v="2"/>
    <n v="7.1086744639376214"/>
    <n v="7.596966477000068"/>
    <n v="20.360595050387332"/>
    <n v="129.91436107854631"/>
    <n v="50.26265981873712"/>
  </r>
  <r>
    <d v="2025-09-05T00:00:00"/>
    <s v="AD002"/>
    <x v="4"/>
    <x v="4"/>
    <x v="3"/>
    <n v="281976"/>
    <n v="15138"/>
    <n v="3583"/>
    <n v="1682"/>
    <n v="882"/>
    <n v="184334.8"/>
    <x v="706"/>
    <x v="4"/>
    <n v="5.3685420035747722"/>
    <n v="12.176958647113224"/>
    <n v="23.668912670101729"/>
    <n v="208.99637188208615"/>
    <n v="31.62333726458596"/>
  </r>
  <r>
    <d v="2025-09-06T00:00:00"/>
    <s v="AD002"/>
    <x v="4"/>
    <x v="4"/>
    <x v="3"/>
    <n v="137599"/>
    <n v="10631"/>
    <n v="2329"/>
    <n v="1429"/>
    <n v="624"/>
    <n v="116671.7"/>
    <x v="707"/>
    <x v="3"/>
    <n v="7.7260735906510947"/>
    <n v="10.97466842253786"/>
    <n v="21.907628633242403"/>
    <n v="186.97387820512819"/>
    <n v="17.101665356723181"/>
  </r>
  <r>
    <d v="2025-09-07T00:00:00"/>
    <s v="AD002"/>
    <x v="4"/>
    <x v="4"/>
    <x v="3"/>
    <n v="197813"/>
    <n v="9162"/>
    <n v="1467"/>
    <n v="664"/>
    <n v="331"/>
    <n v="126646.91"/>
    <x v="708"/>
    <x v="1"/>
    <n v="4.6316470606077456"/>
    <n v="13.823063741541148"/>
    <n v="16.011787819253438"/>
    <n v="382.61906344410875"/>
    <n v="17.708320163516028"/>
  </r>
  <r>
    <d v="2025-09-08T00:00:00"/>
    <s v="AD002"/>
    <x v="4"/>
    <x v="4"/>
    <x v="3"/>
    <n v="183517"/>
    <n v="8806"/>
    <n v="1894"/>
    <n v="1152"/>
    <n v="607"/>
    <n v="156011.44"/>
    <x v="709"/>
    <x v="0"/>
    <n v="4.7984655372526799"/>
    <n v="17.716493300022712"/>
    <n v="21.508062684533272"/>
    <n v="257.02049423393743"/>
    <n v="23.724256182751727"/>
  </r>
  <r>
    <d v="2025-09-09T00:00:00"/>
    <s v="AD002"/>
    <x v="4"/>
    <x v="4"/>
    <x v="3"/>
    <n v="92749"/>
    <n v="6844"/>
    <n v="1354"/>
    <n v="704"/>
    <n v="396"/>
    <n v="68351.570000000007"/>
    <x v="710"/>
    <x v="2"/>
    <n v="7.3790552997875984"/>
    <n v="9.9870791934541217"/>
    <n v="19.78375219170076"/>
    <n v="172.60497474747476"/>
    <n v="25.022784114541917"/>
  </r>
  <r>
    <d v="2025-09-10T00:00:00"/>
    <s v="AD002"/>
    <x v="4"/>
    <x v="4"/>
    <x v="3"/>
    <n v="242936"/>
    <n v="9558"/>
    <n v="1983"/>
    <n v="1172"/>
    <n v="687"/>
    <n v="221405.22"/>
    <x v="711"/>
    <x v="4"/>
    <n v="3.9343695458886287"/>
    <n v="23.164387947269304"/>
    <n v="20.747018204645322"/>
    <n v="322.27834061135371"/>
    <n v="14.745705272892843"/>
  </r>
  <r>
    <d v="2025-09-11T00:00:00"/>
    <s v="AD002"/>
    <x v="4"/>
    <x v="4"/>
    <x v="3"/>
    <n v="99617"/>
    <n v="3517"/>
    <n v="638"/>
    <n v="340"/>
    <n v="165"/>
    <n v="43282.33"/>
    <x v="712"/>
    <x v="2"/>
    <n v="3.5305218988726823"/>
    <n v="12.306605061131647"/>
    <n v="18.140460619846461"/>
    <n v="262.31715151515152"/>
    <n v="11.671283177222668"/>
  </r>
  <r>
    <d v="2025-09-12T00:00:00"/>
    <s v="AD002"/>
    <x v="4"/>
    <x v="4"/>
    <x v="3"/>
    <n v="76637"/>
    <n v="3191"/>
    <n v="733"/>
    <n v="446"/>
    <n v="203"/>
    <n v="74481.25"/>
    <x v="713"/>
    <x v="3"/>
    <n v="4.1637851168495637"/>
    <n v="23.341037292384833"/>
    <n v="22.970855531181446"/>
    <n v="366.90270935960592"/>
    <n v="8.8075989594696651"/>
  </r>
  <r>
    <d v="2025-09-13T00:00:00"/>
    <s v="AD002"/>
    <x v="4"/>
    <x v="4"/>
    <x v="3"/>
    <n v="166151"/>
    <n v="7773"/>
    <n v="1561"/>
    <n v="853"/>
    <n v="511"/>
    <n v="164748.20000000001"/>
    <x v="714"/>
    <x v="2"/>
    <n v="4.6782745815553319"/>
    <n v="21.194931172005663"/>
    <n v="20.082336292293839"/>
    <n v="322.40352250489241"/>
    <n v="24.472085522026948"/>
  </r>
  <r>
    <d v="2025-09-14T00:00:00"/>
    <s v="AD002"/>
    <x v="4"/>
    <x v="4"/>
    <x v="3"/>
    <n v="107335"/>
    <n v="5840"/>
    <n v="883"/>
    <n v="548"/>
    <n v="311"/>
    <n v="91579.99"/>
    <x v="715"/>
    <x v="0"/>
    <n v="5.4409093026505797"/>
    <n v="15.681505136986303"/>
    <n v="15.11986301369863"/>
    <n v="294.46942122186499"/>
    <n v="21.306224973381195"/>
  </r>
  <r>
    <d v="2025-09-15T00:00:00"/>
    <s v="AD002"/>
    <x v="4"/>
    <x v="4"/>
    <x v="3"/>
    <n v="132078"/>
    <n v="9148"/>
    <n v="2250"/>
    <n v="1070"/>
    <n v="580"/>
    <n v="89794.27"/>
    <x v="716"/>
    <x v="4"/>
    <n v="6.9262102696891228"/>
    <n v="9.8157269348491472"/>
    <n v="24.595540008745083"/>
    <n v="154.81770689655173"/>
    <n v="24.519049489460741"/>
  </r>
  <r>
    <d v="2025-09-16T00:00:00"/>
    <s v="AD002"/>
    <x v="4"/>
    <x v="4"/>
    <x v="3"/>
    <n v="101493"/>
    <n v="6771"/>
    <n v="1085"/>
    <n v="554"/>
    <n v="279"/>
    <n v="77121.89"/>
    <x v="717"/>
    <x v="0"/>
    <n v="6.6713960568709165"/>
    <n v="11.390029537734456"/>
    <n v="16.024220942253727"/>
    <n v="276.42254480286738"/>
    <n v="12.867180381601125"/>
  </r>
  <r>
    <d v="2025-09-17T00:00:00"/>
    <s v="AD002"/>
    <x v="4"/>
    <x v="4"/>
    <x v="3"/>
    <n v="111983"/>
    <n v="6950"/>
    <n v="1441"/>
    <n v="658"/>
    <n v="268"/>
    <n v="90692.09"/>
    <x v="718"/>
    <x v="1"/>
    <n v="6.2062991704097943"/>
    <n v="13.049221582733812"/>
    <n v="20.733812949640289"/>
    <n v="338.40332089552237"/>
    <n v="16.175569004970555"/>
  </r>
  <r>
    <d v="2025-09-18T00:00:00"/>
    <s v="AD002"/>
    <x v="4"/>
    <x v="4"/>
    <x v="3"/>
    <n v="215192"/>
    <n v="7975"/>
    <n v="1358"/>
    <n v="818"/>
    <n v="362"/>
    <n v="93531.85"/>
    <x v="719"/>
    <x v="1"/>
    <n v="3.7059927878359789"/>
    <n v="11.728131661442006"/>
    <n v="17.028213166144202"/>
    <n v="258.37527624309394"/>
    <n v="22.633946938930428"/>
  </r>
  <r>
    <d v="2025-09-19T00:00:00"/>
    <s v="AD002"/>
    <x v="4"/>
    <x v="4"/>
    <x v="3"/>
    <n v="261009"/>
    <n v="19792"/>
    <n v="4855"/>
    <n v="2851"/>
    <n v="1191"/>
    <n v="193741.4"/>
    <x v="720"/>
    <x v="3"/>
    <n v="7.5828802838216305"/>
    <n v="9.7888742926434915"/>
    <n v="24.53011317704123"/>
    <n v="162.67120067170444"/>
    <n v="42.627743631459261"/>
  </r>
  <r>
    <d v="2025-09-20T00:00:00"/>
    <s v="AD002"/>
    <x v="4"/>
    <x v="4"/>
    <x v="3"/>
    <n v="197776"/>
    <n v="11695"/>
    <n v="1855"/>
    <n v="1099"/>
    <n v="619"/>
    <n v="120118.79"/>
    <x v="721"/>
    <x v="3"/>
    <n v="5.9132554000485404"/>
    <n v="10.270952543822146"/>
    <n v="15.861479264643011"/>
    <n v="194.05297253634893"/>
    <n v="25.899587150353412"/>
  </r>
  <r>
    <d v="2025-09-21T00:00:00"/>
    <s v="AD002"/>
    <x v="4"/>
    <x v="4"/>
    <x v="3"/>
    <n v="272006"/>
    <n v="16516"/>
    <n v="2535"/>
    <n v="1364"/>
    <n v="637"/>
    <n v="121243.02"/>
    <x v="722"/>
    <x v="3"/>
    <n v="6.0719248840099116"/>
    <n v="7.3409433276822478"/>
    <n v="15.348752724630661"/>
    <n v="190.33441130298274"/>
    <n v="34.072531103233814"/>
  </r>
  <r>
    <d v="2025-09-22T00:00:00"/>
    <s v="AD002"/>
    <x v="4"/>
    <x v="4"/>
    <x v="3"/>
    <n v="130283"/>
    <n v="4990"/>
    <n v="834"/>
    <n v="405"/>
    <n v="218"/>
    <n v="106682.68"/>
    <x v="723"/>
    <x v="3"/>
    <n v="3.8301236538919121"/>
    <n v="21.379294589178354"/>
    <n v="16.713426853707414"/>
    <n v="489.37009174311925"/>
    <n v="9.2608057840316729"/>
  </r>
  <r>
    <d v="2025-09-23T00:00:00"/>
    <s v="AD002"/>
    <x v="4"/>
    <x v="4"/>
    <x v="3"/>
    <n v="135555"/>
    <n v="6016"/>
    <n v="1132"/>
    <n v="528"/>
    <n v="291"/>
    <n v="61223.53"/>
    <x v="724"/>
    <x v="1"/>
    <n v="4.4380509756187525"/>
    <n v="10.17678357712766"/>
    <n v="18.816489361702125"/>
    <n v="210.39013745704466"/>
    <n v="34.735497283479077"/>
  </r>
  <r>
    <d v="2025-09-24T00:00:00"/>
    <s v="AD002"/>
    <x v="4"/>
    <x v="4"/>
    <x v="3"/>
    <n v="170800"/>
    <n v="9993"/>
    <n v="1997"/>
    <n v="1153"/>
    <n v="565"/>
    <n v="123954.87"/>
    <x v="725"/>
    <x v="1"/>
    <n v="5.8507025761124121"/>
    <n v="12.404169918943261"/>
    <n v="19.983988792154509"/>
    <n v="219.38915044247787"/>
    <n v="31.731828850290434"/>
  </r>
  <r>
    <d v="2025-09-25T00:00:00"/>
    <s v="AD002"/>
    <x v="4"/>
    <x v="4"/>
    <x v="3"/>
    <n v="216281"/>
    <n v="12275"/>
    <n v="2743"/>
    <n v="1436"/>
    <n v="761"/>
    <n v="153644.29999999999"/>
    <x v="726"/>
    <x v="3"/>
    <n v="5.6754869822129548"/>
    <n v="12.516847250509164"/>
    <n v="22.346232179226071"/>
    <n v="201.89789750328512"/>
    <n v="30.072835959420562"/>
  </r>
  <r>
    <d v="2025-09-26T00:00:00"/>
    <s v="AD002"/>
    <x v="4"/>
    <x v="4"/>
    <x v="3"/>
    <n v="288814"/>
    <n v="15144"/>
    <n v="3229"/>
    <n v="1667"/>
    <n v="717"/>
    <n v="184629.3"/>
    <x v="727"/>
    <x v="2"/>
    <n v="5.243513126094995"/>
    <n v="12.191580824088748"/>
    <n v="21.321975699947174"/>
    <n v="257.50251046025102"/>
    <n v="30.015401997407782"/>
  </r>
  <r>
    <d v="2025-09-27T00:00:00"/>
    <s v="AD002"/>
    <x v="4"/>
    <x v="4"/>
    <x v="3"/>
    <n v="63287"/>
    <n v="2103"/>
    <n v="392"/>
    <n v="234"/>
    <n v="105"/>
    <n v="40525.230000000003"/>
    <x v="728"/>
    <x v="0"/>
    <n v="3.3229573214088202"/>
    <n v="19.270199714693298"/>
    <n v="18.640038040893963"/>
    <n v="385.95457142857146"/>
    <n v="19.116044498698709"/>
  </r>
  <r>
    <d v="2025-09-28T00:00:00"/>
    <s v="AD002"/>
    <x v="4"/>
    <x v="4"/>
    <x v="3"/>
    <n v="84362"/>
    <n v="5530"/>
    <n v="851"/>
    <n v="502"/>
    <n v="294"/>
    <n v="70942.7"/>
    <x v="729"/>
    <x v="4"/>
    <n v="6.5550840425784118"/>
    <n v="12.828698010849909"/>
    <n v="15.388788426763112"/>
    <n v="241.30170068027209"/>
    <n v="14.757022357480052"/>
  </r>
  <r>
    <d v="2025-09-29T00:00:00"/>
    <s v="AD002"/>
    <x v="4"/>
    <x v="4"/>
    <x v="3"/>
    <n v="183268"/>
    <n v="7046"/>
    <n v="1579"/>
    <n v="810"/>
    <n v="481"/>
    <n v="179224.85"/>
    <x v="730"/>
    <x v="2"/>
    <n v="3.8446428181679289"/>
    <n v="25.436396537042295"/>
    <n v="22.409877944933296"/>
    <n v="372.60883575883577"/>
    <n v="15.0552274419535"/>
  </r>
  <r>
    <d v="2025-09-30T00:00:00"/>
    <s v="AD002"/>
    <x v="4"/>
    <x v="4"/>
    <x v="3"/>
    <n v="262678"/>
    <n v="8632"/>
    <n v="1659"/>
    <n v="1014"/>
    <n v="452"/>
    <n v="114033.33"/>
    <x v="731"/>
    <x v="4"/>
    <n v="3.2861526279322977"/>
    <n v="13.210534059314179"/>
    <n v="19.219184430027802"/>
    <n v="252.28612831858408"/>
    <n v="26.688843779270499"/>
  </r>
  <r>
    <d v="2025-10-01T00:00:00"/>
    <s v="AD002"/>
    <x v="4"/>
    <x v="4"/>
    <x v="3"/>
    <n v="96963"/>
    <n v="4818"/>
    <n v="1033"/>
    <n v="523"/>
    <n v="239"/>
    <n v="77182.98"/>
    <x v="732"/>
    <x v="0"/>
    <n v="4.968905665047493"/>
    <n v="16.019713574097135"/>
    <n v="21.440431714404319"/>
    <n v="322.94133891213386"/>
    <n v="11.933728653648771"/>
  </r>
  <r>
    <d v="2025-10-02T00:00:00"/>
    <s v="AD002"/>
    <x v="4"/>
    <x v="4"/>
    <x v="3"/>
    <n v="238932"/>
    <n v="17897"/>
    <n v="3400"/>
    <n v="1696"/>
    <n v="835"/>
    <n v="154238.89000000001"/>
    <x v="733"/>
    <x v="4"/>
    <n v="7.4904156831232322"/>
    <n v="8.618142146728502"/>
    <n v="18.997597362686484"/>
    <n v="184.71723353293416"/>
    <n v="25.843069993566473"/>
  </r>
  <r>
    <d v="2025-10-03T00:00:00"/>
    <s v="AD002"/>
    <x v="4"/>
    <x v="4"/>
    <x v="3"/>
    <n v="86613"/>
    <n v="4270"/>
    <n v="804"/>
    <n v="520"/>
    <n v="293"/>
    <n v="81879.25"/>
    <x v="734"/>
    <x v="4"/>
    <n v="4.9299758696731439"/>
    <n v="19.175468384074943"/>
    <n v="18.829039812646371"/>
    <n v="279.45136518771329"/>
    <n v="24.459753478445393"/>
  </r>
  <r>
    <d v="2025-10-04T00:00:00"/>
    <s v="AD002"/>
    <x v="4"/>
    <x v="4"/>
    <x v="3"/>
    <n v="133105"/>
    <n v="6571"/>
    <n v="1269"/>
    <n v="758"/>
    <n v="414"/>
    <n v="125866.36"/>
    <x v="735"/>
    <x v="2"/>
    <n v="4.9367041057811498"/>
    <n v="19.154825749505402"/>
    <n v="19.31212905189469"/>
    <n v="304.02502415458935"/>
    <n v="17.077326221239733"/>
  </r>
  <r>
    <d v="2025-10-05T00:00:00"/>
    <s v="AD002"/>
    <x v="4"/>
    <x v="4"/>
    <x v="3"/>
    <n v="277734"/>
    <n v="16825"/>
    <n v="4065"/>
    <n v="1971"/>
    <n v="1056"/>
    <n v="248427.75"/>
    <x v="736"/>
    <x v="1"/>
    <n v="6.0579547336660262"/>
    <n v="14.765393759286775"/>
    <n v="24.160475482912332"/>
    <n v="235.25355113636363"/>
    <n v="20.301077355488665"/>
  </r>
  <r>
    <d v="2025-10-06T00:00:00"/>
    <s v="AD002"/>
    <x v="4"/>
    <x v="4"/>
    <x v="3"/>
    <n v="116985"/>
    <n v="8242"/>
    <n v="1752"/>
    <n v="845"/>
    <n v="384"/>
    <n v="92101.9"/>
    <x v="737"/>
    <x v="0"/>
    <n v="7.0453476941488224"/>
    <n v="11.174702742052899"/>
    <n v="21.256976462023779"/>
    <n v="239.84869791666665"/>
    <n v="32.50843761095048"/>
  </r>
  <r>
    <d v="2025-10-07T00:00:00"/>
    <s v="AD002"/>
    <x v="4"/>
    <x v="4"/>
    <x v="3"/>
    <n v="229002"/>
    <n v="17513"/>
    <n v="3683"/>
    <n v="2365"/>
    <n v="1189"/>
    <n v="161077.87"/>
    <x v="738"/>
    <x v="2"/>
    <n v="7.6475314626073141"/>
    <n v="9.1976171986524289"/>
    <n v="21.030091931707876"/>
    <n v="135.47339781328847"/>
    <n v="58.009946741908124"/>
  </r>
  <r>
    <d v="2025-10-08T00:00:00"/>
    <s v="AD002"/>
    <x v="4"/>
    <x v="4"/>
    <x v="3"/>
    <n v="190424"/>
    <n v="10827"/>
    <n v="2153"/>
    <n v="1389"/>
    <n v="633"/>
    <n v="105225"/>
    <x v="739"/>
    <x v="3"/>
    <n v="5.6857328908120826"/>
    <n v="9.7187586589082855"/>
    <n v="19.885471506419137"/>
    <n v="166.23222748815166"/>
    <n v="33.175465051081019"/>
  </r>
  <r>
    <d v="2025-10-09T00:00:00"/>
    <s v="AD002"/>
    <x v="4"/>
    <x v="4"/>
    <x v="3"/>
    <n v="110972"/>
    <n v="4268"/>
    <n v="982"/>
    <n v="454"/>
    <n v="200"/>
    <n v="97229.71"/>
    <x v="740"/>
    <x v="2"/>
    <n v="3.8460152110442269"/>
    <n v="22.781094189315841"/>
    <n v="23.008434864104967"/>
    <n v="486.14855000000006"/>
    <n v="12.255801236062515"/>
  </r>
  <r>
    <d v="2025-10-10T00:00:00"/>
    <s v="AD002"/>
    <x v="4"/>
    <x v="4"/>
    <x v="3"/>
    <n v="90691"/>
    <n v="6497"/>
    <n v="1168"/>
    <n v="594"/>
    <n v="242"/>
    <n v="54234.25"/>
    <x v="741"/>
    <x v="3"/>
    <n v="7.1638861629048094"/>
    <n v="8.3475835000769578"/>
    <n v="17.977528089887642"/>
    <n v="224.10847107438016"/>
    <n v="15.028888202565721"/>
  </r>
  <r>
    <d v="2025-10-11T00:00:00"/>
    <s v="AD002"/>
    <x v="4"/>
    <x v="4"/>
    <x v="3"/>
    <n v="58157"/>
    <n v="3232"/>
    <n v="534"/>
    <n v="257"/>
    <n v="110"/>
    <n v="53956"/>
    <x v="742"/>
    <x v="2"/>
    <n v="5.5573705658820094"/>
    <n v="16.69430693069307"/>
    <n v="16.522277227722775"/>
    <n v="490.5090909090909"/>
    <n v="8.8095264660093413"/>
  </r>
  <r>
    <d v="2025-10-12T00:00:00"/>
    <s v="AD002"/>
    <x v="4"/>
    <x v="4"/>
    <x v="3"/>
    <n v="135976"/>
    <n v="10257"/>
    <n v="1702"/>
    <n v="1092"/>
    <n v="457"/>
    <n v="95285.119999999995"/>
    <x v="743"/>
    <x v="3"/>
    <n v="7.5432429252220974"/>
    <n v="9.2897650385102857"/>
    <n v="16.593545871112411"/>
    <n v="208.5013566739606"/>
    <n v="20.661621352840822"/>
  </r>
  <r>
    <d v="2025-10-13T00:00:00"/>
    <s v="AD002"/>
    <x v="4"/>
    <x v="4"/>
    <x v="3"/>
    <n v="75257"/>
    <n v="2399"/>
    <n v="411"/>
    <n v="199"/>
    <n v="112"/>
    <n v="34218.43"/>
    <x v="744"/>
    <x v="2"/>
    <n v="3.1877433328461136"/>
    <n v="14.263622342642767"/>
    <n v="17.13213839099625"/>
    <n v="305.52169642857143"/>
    <n v="13.175300853955017"/>
  </r>
  <r>
    <d v="2025-10-14T00:00:00"/>
    <s v="AD002"/>
    <x v="4"/>
    <x v="4"/>
    <x v="3"/>
    <n v="198364"/>
    <n v="13118"/>
    <n v="1984"/>
    <n v="1175"/>
    <n v="480"/>
    <n v="91490.04"/>
    <x v="745"/>
    <x v="0"/>
    <n v="6.6130951180657771"/>
    <n v="6.9743893886263146"/>
    <n v="15.124256746455252"/>
    <n v="190.60424999999998"/>
    <n v="26.803465929187485"/>
  </r>
  <r>
    <d v="2025-10-15T00:00:00"/>
    <s v="AD002"/>
    <x v="4"/>
    <x v="4"/>
    <x v="3"/>
    <n v="295919"/>
    <n v="17609"/>
    <n v="3372"/>
    <n v="1885"/>
    <n v="798"/>
    <n v="153865.01999999999"/>
    <x v="746"/>
    <x v="0"/>
    <n v="5.9506148642027048"/>
    <n v="8.737862456698279"/>
    <n v="19.149298654097336"/>
    <n v="192.81330827067669"/>
    <n v="36.529331748047738"/>
  </r>
  <r>
    <d v="2025-10-16T00:00:00"/>
    <s v="AD002"/>
    <x v="4"/>
    <x v="4"/>
    <x v="3"/>
    <n v="219192"/>
    <n v="9561"/>
    <n v="2253"/>
    <n v="1253"/>
    <n v="681"/>
    <n v="111858.16"/>
    <x v="747"/>
    <x v="2"/>
    <n v="4.3619292674915142"/>
    <n v="11.699420562702647"/>
    <n v="23.564480702855349"/>
    <n v="164.2557415565345"/>
    <n v="22.534439865629828"/>
  </r>
  <r>
    <d v="2025-10-17T00:00:00"/>
    <s v="AD002"/>
    <x v="4"/>
    <x v="4"/>
    <x v="3"/>
    <n v="274932"/>
    <n v="19134"/>
    <n v="4243"/>
    <n v="2579"/>
    <n v="1097"/>
    <n v="235450.39"/>
    <x v="748"/>
    <x v="1"/>
    <n v="6.9595390860285447"/>
    <n v="12.305340754677538"/>
    <n v="22.175185533605102"/>
    <n v="214.63116681859617"/>
    <n v="23.28070754098135"/>
  </r>
  <r>
    <d v="2025-10-18T00:00:00"/>
    <s v="AD002"/>
    <x v="4"/>
    <x v="4"/>
    <x v="3"/>
    <n v="73891"/>
    <n v="5322"/>
    <n v="940"/>
    <n v="560"/>
    <n v="325"/>
    <n v="30551.39"/>
    <x v="749"/>
    <x v="2"/>
    <n v="7.2025009811749738"/>
    <n v="5.7405843667794061"/>
    <n v="17.662532882375046"/>
    <n v="94.004276923076915"/>
    <n v="61.864507310469342"/>
  </r>
  <r>
    <d v="2025-10-19T00:00:00"/>
    <s v="AD002"/>
    <x v="4"/>
    <x v="4"/>
    <x v="3"/>
    <n v="78968"/>
    <n v="2541"/>
    <n v="471"/>
    <n v="249"/>
    <n v="121"/>
    <n v="54841.39"/>
    <x v="750"/>
    <x v="1"/>
    <n v="3.2177590922905481"/>
    <n v="21.582601338055884"/>
    <n v="18.536009445100355"/>
    <n v="453.23462809917356"/>
    <n v="7.2812988511049772"/>
  </r>
  <r>
    <d v="2025-10-20T00:00:00"/>
    <s v="AD002"/>
    <x v="4"/>
    <x v="4"/>
    <x v="3"/>
    <n v="260789"/>
    <n v="14483"/>
    <n v="2729"/>
    <n v="1300"/>
    <n v="685"/>
    <n v="217576.56"/>
    <x v="751"/>
    <x v="0"/>
    <n v="5.5535317823987977"/>
    <n v="15.022893047020645"/>
    <n v="18.842781191742041"/>
    <n v="317.63001459854013"/>
    <n v="12.98203515121298"/>
  </r>
  <r>
    <d v="2025-10-21T00:00:00"/>
    <s v="AD002"/>
    <x v="4"/>
    <x v="4"/>
    <x v="3"/>
    <n v="134380"/>
    <n v="6252"/>
    <n v="1300"/>
    <n v="685"/>
    <n v="354"/>
    <n v="132525.26"/>
    <x v="752"/>
    <x v="4"/>
    <n v="4.6524780473284713"/>
    <n v="21.197258477287271"/>
    <n v="20.793346129238643"/>
    <n v="374.36514124293785"/>
    <n v="20.110184956437738"/>
  </r>
  <r>
    <d v="2025-10-22T00:00:00"/>
    <s v="AD002"/>
    <x v="4"/>
    <x v="4"/>
    <x v="3"/>
    <n v="287916"/>
    <n v="10349"/>
    <n v="1738"/>
    <n v="838"/>
    <n v="398"/>
    <n v="115613.02"/>
    <x v="753"/>
    <x v="3"/>
    <n v="3.5944511593659261"/>
    <n v="11.171419460817472"/>
    <n v="16.793893129770993"/>
    <n v="290.48497487437186"/>
    <n v="16.155483525990412"/>
  </r>
  <r>
    <d v="2025-10-23T00:00:00"/>
    <s v="AD002"/>
    <x v="4"/>
    <x v="4"/>
    <x v="3"/>
    <n v="216575"/>
    <n v="12444"/>
    <n v="2477"/>
    <n v="1587"/>
    <n v="674"/>
    <n v="147196.81"/>
    <x v="754"/>
    <x v="2"/>
    <n v="5.7458155373427218"/>
    <n v="11.828737544198006"/>
    <n v="19.905175184828032"/>
    <n v="218.39289317507419"/>
    <n v="31.09417676918406"/>
  </r>
  <r>
    <d v="2025-10-24T00:00:00"/>
    <s v="AD002"/>
    <x v="4"/>
    <x v="4"/>
    <x v="3"/>
    <n v="71172"/>
    <n v="4222"/>
    <n v="908"/>
    <n v="490"/>
    <n v="236"/>
    <n v="46274.85"/>
    <x v="755"/>
    <x v="1"/>
    <n v="5.9321081324116225"/>
    <n v="10.960409758408337"/>
    <n v="21.506395073424915"/>
    <n v="196.07987288135593"/>
    <n v="38.038084834418697"/>
  </r>
  <r>
    <d v="2025-10-25T00:00:00"/>
    <s v="AD002"/>
    <x v="4"/>
    <x v="4"/>
    <x v="3"/>
    <n v="198682"/>
    <n v="8609"/>
    <n v="1832"/>
    <n v="1094"/>
    <n v="574"/>
    <n v="80603.11"/>
    <x v="756"/>
    <x v="4"/>
    <n v="4.3330548313385213"/>
    <n v="9.3626565222441638"/>
    <n v="21.2800557556046"/>
    <n v="140.42353658536587"/>
    <n v="22.056819271613712"/>
  </r>
  <r>
    <d v="2025-10-26T00:00:00"/>
    <s v="AD002"/>
    <x v="4"/>
    <x v="4"/>
    <x v="3"/>
    <n v="87021"/>
    <n v="6502"/>
    <n v="1617"/>
    <n v="998"/>
    <n v="494"/>
    <n v="46482.66"/>
    <x v="757"/>
    <x v="3"/>
    <n v="7.4717596901897245"/>
    <n v="7.1489787757613046"/>
    <n v="24.86927099354045"/>
    <n v="94.094453441295556"/>
    <n v="48.293356920623729"/>
  </r>
  <r>
    <d v="2025-10-27T00:00:00"/>
    <s v="AD002"/>
    <x v="4"/>
    <x v="4"/>
    <x v="3"/>
    <n v="277676"/>
    <n v="18342"/>
    <n v="3757"/>
    <n v="2032"/>
    <n v="1017"/>
    <n v="242232.32000000001"/>
    <x v="758"/>
    <x v="4"/>
    <n v="6.6055402699549113"/>
    <n v="13.206428960854868"/>
    <n v="20.483044379020825"/>
    <n v="238.18320550639135"/>
    <n v="22.292571321613892"/>
  </r>
  <r>
    <d v="2025-10-28T00:00:00"/>
    <s v="AD002"/>
    <x v="4"/>
    <x v="4"/>
    <x v="3"/>
    <n v="132019"/>
    <n v="9429"/>
    <n v="2004"/>
    <n v="1029"/>
    <n v="542"/>
    <n v="129503.53"/>
    <x v="759"/>
    <x v="0"/>
    <n v="7.1421537808951747"/>
    <n v="13.734598578852477"/>
    <n v="21.25357938275533"/>
    <n v="238.93640221402214"/>
    <n v="26.281113727170219"/>
  </r>
  <r>
    <d v="2025-10-29T00:00:00"/>
    <s v="AD002"/>
    <x v="4"/>
    <x v="4"/>
    <x v="3"/>
    <n v="89527"/>
    <n v="5616"/>
    <n v="865"/>
    <n v="507"/>
    <n v="215"/>
    <n v="79011.86"/>
    <x v="760"/>
    <x v="0"/>
    <n v="6.2729679314620173"/>
    <n v="14.06906339031339"/>
    <n v="15.402421652421653"/>
    <n v="367.49702325581393"/>
    <n v="15.494082027685463"/>
  </r>
  <r>
    <d v="2025-10-30T00:00:00"/>
    <s v="AD002"/>
    <x v="4"/>
    <x v="4"/>
    <x v="3"/>
    <n v="232419"/>
    <n v="17670"/>
    <n v="3031"/>
    <n v="1638"/>
    <n v="975"/>
    <n v="200506.15"/>
    <x v="761"/>
    <x v="2"/>
    <n v="7.6026486646960878"/>
    <n v="11.347263723825693"/>
    <n v="17.153367289190719"/>
    <n v="205.64733333333334"/>
    <n v="34.951453110041761"/>
  </r>
  <r>
    <d v="2025-10-31T00:00:00"/>
    <s v="AD002"/>
    <x v="4"/>
    <x v="4"/>
    <x v="3"/>
    <n v="267804"/>
    <n v="19472"/>
    <n v="4863"/>
    <n v="2431"/>
    <n v="1100"/>
    <n v="251059.32"/>
    <x v="762"/>
    <x v="3"/>
    <n v="7.2709892309300832"/>
    <n v="12.893350451930978"/>
    <n v="24.974322103533279"/>
    <n v="228.23574545454545"/>
    <n v="26.5885834471311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71BC52-BCC2-4FB5-B171-63CBE944F47D}" name="Clustered Column Chart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9" firstHeaderRow="1" firstDataRow="1" firstDataCol="1"/>
  <pivotFields count="18">
    <pivotField numFmtId="14" showAll="0"/>
    <pivotField showAll="0"/>
    <pivotField showAll="0"/>
    <pivotField axis="axisRow" showAll="0" sortType="descending">
      <items count="6">
        <item x="4"/>
        <item x="1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 v="1"/>
    </i>
    <i>
      <x/>
    </i>
    <i>
      <x v="3"/>
    </i>
    <i>
      <x v="2"/>
    </i>
    <i>
      <x v="4"/>
    </i>
    <i t="grand">
      <x/>
    </i>
  </rowItems>
  <colItems count="1">
    <i/>
  </colItems>
  <dataFields count="1">
    <dataField name="Sum of Revenue (₹)" fld="11" baseField="3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75759E-A74C-4768-857D-B7C26E60C5EE}" name="PivotTable2" cacheId="1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9" firstHeaderRow="1" firstDataRow="1" firstDataCol="1"/>
  <pivotFields count="18">
    <pivotField numFmtId="14" showAll="0"/>
    <pivotField showAll="0"/>
    <pivotField axis="axisRow" showAll="0" sortType="descending">
      <items count="6">
        <item x="0"/>
        <item x="4"/>
        <item x="3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 v="4"/>
    </i>
    <i>
      <x v="1"/>
    </i>
    <i>
      <x v="2"/>
    </i>
    <i>
      <x v="3"/>
    </i>
    <i>
      <x/>
    </i>
    <i t="grand">
      <x/>
    </i>
  </rowItems>
  <colItems count="1">
    <i/>
  </colItems>
  <dataFields count="1">
    <dataField name="Sum of Revenue (₹)" fld="11" baseField="2" baseItem="2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894781-CAB7-4481-9B43-5CD1A1A69BC8}" name="PivotTable3" cacheId="1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9" firstHeaderRow="1" firstDataRow="1" firstDataCol="1"/>
  <pivotFields count="18">
    <pivotField numFmtId="14" showAll="0"/>
    <pivotField showAll="0"/>
    <pivotField showAll="0"/>
    <pivotField axis="axisRow" showAll="0" sortType="ascending">
      <items count="6">
        <item x="4"/>
        <item x="1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6">
    <i>
      <x v="1"/>
    </i>
    <i>
      <x/>
    </i>
    <i>
      <x v="2"/>
    </i>
    <i>
      <x v="4"/>
    </i>
    <i>
      <x v="3"/>
    </i>
    <i t="grand">
      <x/>
    </i>
  </rowItems>
  <colItems count="1">
    <i/>
  </colItems>
  <dataFields count="1">
    <dataField name="Average of ROAS" fld="17" subtotal="average" baseField="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A00A75-D60B-4D92-A367-028DFD3BBA70}" name="PivotTable4" cacheId="1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9" firstHeaderRow="1" firstDataRow="1" firstDataCol="1"/>
  <pivotFields count="18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764">
        <item x="39"/>
        <item x="750"/>
        <item x="257"/>
        <item x="387"/>
        <item x="376"/>
        <item x="744"/>
        <item x="742"/>
        <item x="57"/>
        <item x="712"/>
        <item x="105"/>
        <item x="250"/>
        <item x="314"/>
        <item x="176"/>
        <item x="659"/>
        <item x="562"/>
        <item x="225"/>
        <item x="335"/>
        <item x="629"/>
        <item x="158"/>
        <item x="458"/>
        <item x="223"/>
        <item x="286"/>
        <item x="113"/>
        <item x="352"/>
        <item x="124"/>
        <item x="442"/>
        <item x="506"/>
        <item x="432"/>
        <item x="319"/>
        <item x="414"/>
        <item x="251"/>
        <item x="429"/>
        <item x="638"/>
        <item x="537"/>
        <item x="466"/>
        <item x="74"/>
        <item x="76"/>
        <item x="713"/>
        <item x="609"/>
        <item x="612"/>
        <item x="485"/>
        <item x="582"/>
        <item x="226"/>
        <item x="410"/>
        <item x="153"/>
        <item x="566"/>
        <item x="67"/>
        <item x="167"/>
        <item x="151"/>
        <item x="380"/>
        <item x="516"/>
        <item x="282"/>
        <item x="728"/>
        <item x="671"/>
        <item x="498"/>
        <item x="312"/>
        <item x="316"/>
        <item x="741"/>
        <item x="194"/>
        <item x="389"/>
        <item x="361"/>
        <item x="692"/>
        <item x="114"/>
        <item x="439"/>
        <item x="568"/>
        <item x="344"/>
        <item x="418"/>
        <item x="477"/>
        <item x="33"/>
        <item x="691"/>
        <item x="139"/>
        <item x="363"/>
        <item x="565"/>
        <item x="540"/>
        <item x="211"/>
        <item x="732"/>
        <item x="69"/>
        <item x="576"/>
        <item x="589"/>
        <item x="703"/>
        <item x="634"/>
        <item x="525"/>
        <item x="112"/>
        <item x="336"/>
        <item x="116"/>
        <item x="84"/>
        <item x="663"/>
        <item x="723"/>
        <item x="308"/>
        <item x="351"/>
        <item x="717"/>
        <item x="593"/>
        <item x="457"/>
        <item x="260"/>
        <item x="80"/>
        <item x="291"/>
        <item x="487"/>
        <item x="555"/>
        <item x="91"/>
        <item x="729"/>
        <item x="267"/>
        <item x="2"/>
        <item x="635"/>
        <item x="244"/>
        <item x="32"/>
        <item x="252"/>
        <item x="639"/>
        <item x="317"/>
        <item x="55"/>
        <item x="108"/>
        <item x="672"/>
        <item x="618"/>
        <item x="571"/>
        <item x="186"/>
        <item x="224"/>
        <item x="446"/>
        <item x="17"/>
        <item x="543"/>
        <item x="121"/>
        <item x="434"/>
        <item x="528"/>
        <item x="207"/>
        <item x="119"/>
        <item x="437"/>
        <item x="482"/>
        <item x="740"/>
        <item x="461"/>
        <item x="301"/>
        <item x="702"/>
        <item x="348"/>
        <item x="170"/>
        <item x="760"/>
        <item x="103"/>
        <item x="299"/>
        <item x="523"/>
        <item x="595"/>
        <item x="486"/>
        <item x="358"/>
        <item x="263"/>
        <item x="320"/>
        <item x="679"/>
        <item x="588"/>
        <item x="658"/>
        <item x="258"/>
        <item x="141"/>
        <item x="415"/>
        <item x="628"/>
        <item x="95"/>
        <item x="162"/>
        <item x="178"/>
        <item x="136"/>
        <item x="300"/>
        <item x="419"/>
        <item x="567"/>
        <item x="202"/>
        <item x="653"/>
        <item x="117"/>
        <item x="22"/>
        <item x="668"/>
        <item x="56"/>
        <item x="88"/>
        <item x="602"/>
        <item x="402"/>
        <item x="239"/>
        <item x="359"/>
        <item x="640"/>
        <item x="495"/>
        <item x="159"/>
        <item x="521"/>
        <item x="374"/>
        <item x="642"/>
        <item x="302"/>
        <item x="596"/>
        <item x="622"/>
        <item x="585"/>
        <item x="452"/>
        <item x="511"/>
        <item x="636"/>
        <item x="243"/>
        <item x="77"/>
        <item x="518"/>
        <item x="75"/>
        <item x="718"/>
        <item x="520"/>
        <item x="651"/>
        <item x="329"/>
        <item x="328"/>
        <item x="553"/>
        <item x="12"/>
        <item x="130"/>
        <item x="273"/>
        <item x="431"/>
        <item x="217"/>
        <item x="349"/>
        <item x="238"/>
        <item x="570"/>
        <item x="472"/>
        <item x="16"/>
        <item x="396"/>
        <item x="4"/>
        <item x="626"/>
        <item x="445"/>
        <item x="476"/>
        <item x="360"/>
        <item x="270"/>
        <item x="381"/>
        <item x="174"/>
        <item x="332"/>
        <item x="93"/>
        <item x="590"/>
        <item x="166"/>
        <item x="617"/>
        <item x="675"/>
        <item x="215"/>
        <item x="231"/>
        <item x="624"/>
        <item x="54"/>
        <item x="190"/>
        <item x="544"/>
        <item x="253"/>
        <item x="616"/>
        <item x="654"/>
        <item x="393"/>
        <item x="491"/>
        <item x="345"/>
        <item x="73"/>
        <item x="107"/>
        <item x="527"/>
        <item x="187"/>
        <item x="610"/>
        <item x="391"/>
        <item x="338"/>
        <item x="710"/>
        <item x="341"/>
        <item x="5"/>
        <item x="321"/>
        <item x="10"/>
        <item x="53"/>
        <item x="293"/>
        <item x="289"/>
        <item x="755"/>
        <item x="323"/>
        <item x="145"/>
        <item x="519"/>
        <item x="756"/>
        <item x="699"/>
        <item x="561"/>
        <item x="401"/>
        <item x="298"/>
        <item x="453"/>
        <item x="398"/>
        <item x="254"/>
        <item x="288"/>
        <item x="347"/>
        <item x="542"/>
        <item x="146"/>
        <item x="514"/>
        <item x="667"/>
        <item x="471"/>
        <item x="682"/>
        <item x="100"/>
        <item x="611"/>
        <item x="572"/>
        <item x="753"/>
        <item x="392"/>
        <item x="377"/>
        <item x="189"/>
        <item x="346"/>
        <item x="749"/>
        <item x="68"/>
        <item x="406"/>
        <item x="334"/>
        <item x="165"/>
        <item x="96"/>
        <item x="197"/>
        <item x="637"/>
        <item x="246"/>
        <item x="222"/>
        <item x="425"/>
        <item x="149"/>
        <item x="366"/>
        <item x="266"/>
        <item x="368"/>
        <item x="715"/>
        <item x="438"/>
        <item x="50"/>
        <item x="743"/>
        <item x="355"/>
        <item x="45"/>
        <item x="241"/>
        <item x="255"/>
        <item x="271"/>
        <item x="707"/>
        <item x="229"/>
        <item x="655"/>
        <item x="734"/>
        <item x="357"/>
        <item x="40"/>
        <item x="670"/>
        <item x="436"/>
        <item x="216"/>
        <item x="87"/>
        <item x="478"/>
        <item x="394"/>
        <item x="20"/>
        <item x="515"/>
        <item x="305"/>
        <item x="83"/>
        <item x="60"/>
        <item x="324"/>
        <item x="278"/>
        <item x="433"/>
        <item x="364"/>
        <item x="131"/>
        <item x="71"/>
        <item x="451"/>
        <item x="547"/>
        <item x="604"/>
        <item x="13"/>
        <item x="684"/>
        <item x="719"/>
        <item x="99"/>
        <item x="724"/>
        <item x="660"/>
        <item x="311"/>
        <item x="598"/>
        <item x="417"/>
        <item x="650"/>
        <item x="44"/>
        <item x="356"/>
        <item x="557"/>
        <item x="735"/>
        <item x="193"/>
        <item x="18"/>
        <item x="627"/>
        <item x="28"/>
        <item x="296"/>
        <item x="440"/>
        <item x="14"/>
        <item x="322"/>
        <item x="563"/>
        <item x="304"/>
        <item x="716"/>
        <item x="85"/>
        <item x="163"/>
        <item x="621"/>
        <item x="144"/>
        <item x="325"/>
        <item x="150"/>
        <item x="708"/>
        <item x="757"/>
        <item x="662"/>
        <item x="467"/>
        <item x="326"/>
        <item x="666"/>
        <item x="676"/>
        <item x="86"/>
        <item x="592"/>
        <item x="382"/>
        <item x="120"/>
        <item x="181"/>
        <item x="340"/>
        <item x="63"/>
        <item x="70"/>
        <item x="82"/>
        <item x="327"/>
        <item x="502"/>
        <item x="378"/>
        <item x="489"/>
        <item x="552"/>
        <item x="409"/>
        <item x="164"/>
        <item x="245"/>
        <item x="535"/>
        <item x="657"/>
        <item x="383"/>
        <item x="137"/>
        <item x="517"/>
        <item x="134"/>
        <item x="72"/>
        <item x="157"/>
        <item x="669"/>
        <item x="420"/>
        <item x="484"/>
        <item x="426"/>
        <item x="198"/>
        <item x="343"/>
        <item x="694"/>
        <item x="51"/>
        <item x="643"/>
        <item x="745"/>
        <item x="620"/>
        <item x="507"/>
        <item x="362"/>
        <item x="234"/>
        <item x="687"/>
        <item x="404"/>
        <item x="247"/>
        <item x="690"/>
        <item x="747"/>
        <item x="132"/>
        <item x="213"/>
        <item x="579"/>
        <item x="559"/>
        <item x="550"/>
        <item x="586"/>
        <item x="460"/>
        <item x="78"/>
        <item x="310"/>
        <item x="408"/>
        <item x="7"/>
        <item x="209"/>
        <item x="403"/>
        <item x="204"/>
        <item x="447"/>
        <item x="6"/>
        <item x="574"/>
        <item x="370"/>
        <item x="27"/>
        <item x="494"/>
        <item x="441"/>
        <item x="64"/>
        <item x="122"/>
        <item x="203"/>
        <item x="473"/>
        <item x="101"/>
        <item x="752"/>
        <item x="698"/>
        <item x="148"/>
        <item x="464"/>
        <item x="195"/>
        <item x="177"/>
        <item x="665"/>
        <item x="730"/>
        <item x="31"/>
        <item x="168"/>
        <item x="59"/>
        <item x="21"/>
        <item x="371"/>
        <item x="696"/>
        <item x="463"/>
        <item x="631"/>
        <item x="192"/>
        <item x="19"/>
        <item x="43"/>
        <item x="182"/>
        <item x="118"/>
        <item x="554"/>
        <item x="551"/>
        <item x="37"/>
        <item x="608"/>
        <item x="268"/>
        <item x="751"/>
        <item x="465"/>
        <item x="475"/>
        <item x="276"/>
        <item x="161"/>
        <item x="115"/>
        <item x="545"/>
        <item x="261"/>
        <item x="449"/>
        <item x="185"/>
        <item x="256"/>
        <item x="90"/>
        <item x="379"/>
        <item x="407"/>
        <item x="65"/>
        <item x="587"/>
        <item x="106"/>
        <item x="689"/>
        <item x="501"/>
        <item x="375"/>
        <item x="25"/>
        <item x="685"/>
        <item x="470"/>
        <item x="556"/>
        <item x="468"/>
        <item x="737"/>
        <item x="237"/>
        <item x="369"/>
        <item x="450"/>
        <item x="9"/>
        <item x="126"/>
        <item x="47"/>
        <item x="731"/>
        <item x="413"/>
        <item x="677"/>
        <item x="259"/>
        <item x="11"/>
        <item x="474"/>
        <item x="479"/>
        <item x="372"/>
        <item x="594"/>
        <item x="721"/>
        <item x="430"/>
        <item x="191"/>
        <item x="538"/>
        <item x="92"/>
        <item x="644"/>
        <item x="695"/>
        <item x="36"/>
        <item x="171"/>
        <item x="583"/>
        <item x="584"/>
        <item x="674"/>
        <item x="233"/>
        <item x="367"/>
        <item x="649"/>
        <item x="603"/>
        <item x="49"/>
        <item x="422"/>
        <item x="427"/>
        <item x="711"/>
        <item x="580"/>
        <item x="269"/>
        <item x="152"/>
        <item x="522"/>
        <item x="277"/>
        <item x="490"/>
        <item x="281"/>
        <item x="342"/>
        <item x="236"/>
        <item x="248"/>
        <item x="214"/>
        <item x="292"/>
        <item x="597"/>
        <item x="469"/>
        <item x="397"/>
        <item x="510"/>
        <item x="759"/>
        <item x="615"/>
        <item x="688"/>
        <item x="38"/>
        <item x="697"/>
        <item x="135"/>
        <item x="275"/>
        <item x="365"/>
        <item x="111"/>
        <item x="613"/>
        <item x="739"/>
        <item x="385"/>
        <item x="220"/>
        <item x="648"/>
        <item x="1"/>
        <item x="66"/>
        <item x="605"/>
        <item x="206"/>
        <item x="265"/>
        <item x="384"/>
        <item x="30"/>
        <item x="15"/>
        <item x="416"/>
        <item x="337"/>
        <item x="179"/>
        <item x="508"/>
        <item x="512"/>
        <item x="493"/>
        <item x="709"/>
        <item x="681"/>
        <item x="632"/>
        <item x="160"/>
        <item x="221"/>
        <item x="390"/>
        <item x="400"/>
        <item x="98"/>
        <item x="448"/>
        <item x="173"/>
        <item x="218"/>
        <item x="41"/>
        <item x="614"/>
        <item x="208"/>
        <item x="42"/>
        <item x="680"/>
        <item x="287"/>
        <item x="143"/>
        <item x="3"/>
        <item x="313"/>
        <item x="128"/>
        <item x="274"/>
        <item x="693"/>
        <item x="125"/>
        <item x="306"/>
        <item x="240"/>
        <item x="46"/>
        <item x="575"/>
        <item x="339"/>
        <item x="52"/>
        <item x="725"/>
        <item x="600"/>
        <item x="645"/>
        <item x="462"/>
        <item x="79"/>
        <item x="443"/>
        <item x="169"/>
        <item x="733"/>
        <item x="138"/>
        <item x="488"/>
        <item x="714"/>
        <item x="509"/>
        <item x="228"/>
        <item x="539"/>
        <item x="656"/>
        <item x="81"/>
        <item x="411"/>
        <item x="625"/>
        <item x="581"/>
        <item x="722"/>
        <item x="424"/>
        <item x="154"/>
        <item x="48"/>
        <item x="279"/>
        <item x="62"/>
        <item x="58"/>
        <item x="678"/>
        <item x="227"/>
        <item x="499"/>
        <item x="353"/>
        <item x="701"/>
        <item x="212"/>
        <item x="548"/>
        <item x="623"/>
        <item x="652"/>
        <item x="183"/>
        <item x="123"/>
        <item x="8"/>
        <item x="481"/>
        <item x="23"/>
        <item x="200"/>
        <item x="230"/>
        <item x="607"/>
        <item x="531"/>
        <item x="388"/>
        <item x="272"/>
        <item x="29"/>
        <item x="423"/>
        <item x="24"/>
        <item x="533"/>
        <item x="664"/>
        <item x="534"/>
        <item x="399"/>
        <item x="456"/>
        <item x="97"/>
        <item x="504"/>
        <item x="180"/>
        <item x="754"/>
        <item x="333"/>
        <item x="0"/>
        <item x="726"/>
        <item x="354"/>
        <item x="578"/>
        <item x="94"/>
        <item x="147"/>
        <item x="673"/>
        <item x="591"/>
        <item x="188"/>
        <item x="503"/>
        <item x="142"/>
        <item x="536"/>
        <item x="205"/>
        <item x="530"/>
        <item x="109"/>
        <item x="524"/>
        <item x="283"/>
        <item x="219"/>
        <item x="315"/>
        <item x="564"/>
        <item x="646"/>
        <item x="497"/>
        <item x="242"/>
        <item x="546"/>
        <item x="558"/>
        <item x="140"/>
        <item x="444"/>
        <item x="284"/>
        <item x="492"/>
        <item x="736"/>
        <item x="633"/>
        <item x="683"/>
        <item x="127"/>
        <item x="156"/>
        <item x="505"/>
        <item x="199"/>
        <item x="405"/>
        <item x="35"/>
        <item x="295"/>
        <item x="285"/>
        <item x="577"/>
        <item x="102"/>
        <item x="454"/>
        <item x="307"/>
        <item x="758"/>
        <item x="129"/>
        <item x="748"/>
        <item x="647"/>
        <item x="201"/>
        <item x="619"/>
        <item x="61"/>
        <item x="727"/>
        <item x="705"/>
        <item x="290"/>
        <item x="746"/>
        <item x="700"/>
        <item x="395"/>
        <item x="172"/>
        <item x="421"/>
        <item x="606"/>
        <item x="262"/>
        <item x="532"/>
        <item x="706"/>
        <item x="89"/>
        <item x="34"/>
        <item x="526"/>
        <item x="412"/>
        <item x="500"/>
        <item x="104"/>
        <item x="704"/>
        <item x="280"/>
        <item x="175"/>
        <item x="541"/>
        <item x="110"/>
        <item x="686"/>
        <item x="297"/>
        <item x="155"/>
        <item x="435"/>
        <item x="459"/>
        <item x="373"/>
        <item x="549"/>
        <item x="455"/>
        <item x="26"/>
        <item x="480"/>
        <item x="184"/>
        <item x="232"/>
        <item x="762"/>
        <item x="386"/>
        <item x="761"/>
        <item x="569"/>
        <item x="350"/>
        <item x="630"/>
        <item x="133"/>
        <item x="601"/>
        <item x="210"/>
        <item x="560"/>
        <item x="309"/>
        <item x="303"/>
        <item x="331"/>
        <item x="496"/>
        <item x="330"/>
        <item x="294"/>
        <item x="513"/>
        <item x="249"/>
        <item x="196"/>
        <item x="641"/>
        <item x="720"/>
        <item x="264"/>
        <item x="529"/>
        <item x="661"/>
        <item x="428"/>
        <item x="599"/>
        <item x="235"/>
        <item x="738"/>
        <item x="318"/>
        <item x="573"/>
        <item x="483"/>
        <item t="default"/>
      </items>
    </pivotField>
    <pivotField axis="axisRow" showAll="0" sortType="descending">
      <items count="6">
        <item x="2"/>
        <item x="1"/>
        <item x="3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12"/>
  </rowFields>
  <rowItems count="6">
    <i>
      <x v="2"/>
    </i>
    <i>
      <x v="1"/>
    </i>
    <i>
      <x v="4"/>
    </i>
    <i>
      <x/>
    </i>
    <i>
      <x v="3"/>
    </i>
    <i t="grand">
      <x/>
    </i>
  </rowItems>
  <colItems count="1">
    <i/>
  </colItems>
  <dataFields count="1">
    <dataField name="Sum of Revenue (₹)" fld="11" baseField="12" baseItem="3" numFmtId="16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7F08F7-5CE0-4D7D-8255-4EE204072237}" name="PivotTable6" cacheId="1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8" firstHeaderRow="1" firstDataRow="1" firstDataCol="1"/>
  <pivotFields count="18">
    <pivotField numFmtId="14" showAll="0"/>
    <pivotField showAll="0"/>
    <pivotField showAll="0"/>
    <pivotField showAll="0"/>
    <pivotField axis="axisRow" showAll="0" sortType="descending">
      <items count="5">
        <item x="0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 (₹)" fld="11" baseField="4" baseItem="3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E334C51-5BE7-410E-9DA7-45144BAC3EAA}" autoFormatId="16" applyNumberFormats="0" applyBorderFormats="0" applyFontFormats="0" applyPatternFormats="0" applyAlignmentFormats="0" applyWidthHeightFormats="0">
  <queryTableRefresh nextId="19">
    <queryTableFields count="18">
      <queryTableField id="1" name="Date" tableColumnId="1"/>
      <queryTableField id="2" name="CampaignID" tableColumnId="2"/>
      <queryTableField id="3" name="CampaignName" tableColumnId="3"/>
      <queryTableField id="4" name="Platform" tableColumnId="4"/>
      <queryTableField id="5" name="TargetAudience" tableColumnId="5"/>
      <queryTableField id="6" name="Impressions" tableColumnId="6"/>
      <queryTableField id="7" name="Clicks" tableColumnId="7"/>
      <queryTableField id="8" name="Leads" tableColumnId="8"/>
      <queryTableField id="9" name="Applications" tableColumnId="9"/>
      <queryTableField id="10" name="Enrollments" tableColumnId="10"/>
      <queryTableField id="11" name="Cost (₹)" tableColumnId="11"/>
      <queryTableField id="12" name="Revenue (₹)" tableColumnId="12"/>
      <queryTableField id="13" name="Region" tableColumnId="13"/>
      <queryTableField id="14" name="CTR" tableColumnId="14"/>
      <queryTableField id="15" name="CPC" tableColumnId="15"/>
      <queryTableField id="16" name="Conversion_Rate" tableColumnId="16"/>
      <queryTableField id="17" name="CPA" tableColumnId="17"/>
      <queryTableField id="18" name="ROA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046CB7-9908-443B-BC34-C4F300A573FE}" name="marketing_campaign_clean__2" displayName="marketing_campaign_clean__2" ref="A1:R764" tableType="queryTable" totalsRowShown="0">
  <autoFilter ref="A1:R764" xr:uid="{B6046CB7-9908-443B-BC34-C4F300A573FE}"/>
  <tableColumns count="18">
    <tableColumn id="1" xr3:uid="{EDEDFC27-328B-491B-852B-4E0A8B47B039}" uniqueName="1" name="Date" queryTableFieldId="1" dataDxfId="5"/>
    <tableColumn id="2" xr3:uid="{42861402-683F-4D6A-BD38-F918EE920003}" uniqueName="2" name="CampaignID" queryTableFieldId="2" dataDxfId="4"/>
    <tableColumn id="3" xr3:uid="{2B2533DD-7D19-41A6-8BF2-B53F6C403A4C}" uniqueName="3" name="CampaignName" queryTableFieldId="3" dataDxfId="3"/>
    <tableColumn id="4" xr3:uid="{CF3E438B-8E78-4FA7-8E42-249EBDB6CC35}" uniqueName="4" name="Platform" queryTableFieldId="4" dataDxfId="2"/>
    <tableColumn id="5" xr3:uid="{B02EA490-0091-44E3-822A-6DD382857CA3}" uniqueName="5" name="TargetAudience" queryTableFieldId="5" dataDxfId="1"/>
    <tableColumn id="6" xr3:uid="{FD334490-F3F3-4054-BEAB-51F02B0F0779}" uniqueName="6" name="Impressions" queryTableFieldId="6"/>
    <tableColumn id="7" xr3:uid="{6BCEF19D-F6A0-4812-A998-47457E5C091A}" uniqueName="7" name="Clicks" queryTableFieldId="7"/>
    <tableColumn id="8" xr3:uid="{32BA2AE9-83B6-4B70-9CB7-7C60FBF7B5F3}" uniqueName="8" name="Leads" queryTableFieldId="8"/>
    <tableColumn id="9" xr3:uid="{B14DD123-1341-4725-9470-E9B948563590}" uniqueName="9" name="Applications" queryTableFieldId="9"/>
    <tableColumn id="10" xr3:uid="{295FC1CB-3DAF-4BEA-A80F-0885F381CE9C}" uniqueName="10" name="Enrollments" queryTableFieldId="10"/>
    <tableColumn id="11" xr3:uid="{E01BBC63-6BAD-4E47-9ADE-657B52C153FA}" uniqueName="11" name="Cost (₹)" queryTableFieldId="11"/>
    <tableColumn id="12" xr3:uid="{7F65B700-4920-4087-A143-12D7E0E7E8CF}" uniqueName="12" name="Revenue (₹)" queryTableFieldId="12"/>
    <tableColumn id="13" xr3:uid="{8EE44BE1-D6BD-4F14-9183-56A6A0EED87A}" uniqueName="13" name="Region" queryTableFieldId="13" dataDxfId="0"/>
    <tableColumn id="14" xr3:uid="{FE01482D-B6E0-4BA9-802F-1CED7C385375}" uniqueName="14" name="CTR" queryTableFieldId="14"/>
    <tableColumn id="15" xr3:uid="{B17EC428-C6D5-4806-8873-0D094ADC37A4}" uniqueName="15" name="CPC" queryTableFieldId="15"/>
    <tableColumn id="16" xr3:uid="{509DE40C-98C5-4A69-9DBA-555DBC2F377D}" uniqueName="16" name="Conversion_Rate" queryTableFieldId="16"/>
    <tableColumn id="17" xr3:uid="{A19A68C0-45DD-4958-9FA7-CE522B764351}" uniqueName="17" name="CPA" queryTableFieldId="17"/>
    <tableColumn id="18" xr3:uid="{B17AC6F1-628E-4351-A280-37285581CB27}" uniqueName="18" name="ROAS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2DE56-50DB-4E1C-A9C4-63CFF9426163}">
  <dimension ref="A3:B9"/>
  <sheetViews>
    <sheetView zoomScale="104" zoomScaleNormal="104" workbookViewId="0">
      <selection activeCell="D11" sqref="D11"/>
    </sheetView>
  </sheetViews>
  <sheetFormatPr defaultRowHeight="15" x14ac:dyDescent="0.25"/>
  <cols>
    <col min="1" max="1" width="13.140625" bestFit="1" customWidth="1"/>
    <col min="2" max="2" width="18.7109375" bestFit="1" customWidth="1"/>
  </cols>
  <sheetData>
    <row r="3" spans="1:2" x14ac:dyDescent="0.25">
      <c r="A3" s="3" t="s">
        <v>42</v>
      </c>
      <c r="B3" t="s">
        <v>44</v>
      </c>
    </row>
    <row r="4" spans="1:2" x14ac:dyDescent="0.25">
      <c r="A4" s="4" t="s">
        <v>26</v>
      </c>
      <c r="B4" s="5">
        <v>531973533.87999988</v>
      </c>
    </row>
    <row r="5" spans="1:2" x14ac:dyDescent="0.25">
      <c r="A5" s="4" t="s">
        <v>35</v>
      </c>
      <c r="B5" s="5">
        <v>517275867.83000022</v>
      </c>
    </row>
    <row r="6" spans="1:2" x14ac:dyDescent="0.25">
      <c r="A6" s="4" t="s">
        <v>32</v>
      </c>
      <c r="B6" s="5">
        <v>464609915.19000012</v>
      </c>
    </row>
    <row r="7" spans="1:2" x14ac:dyDescent="0.25">
      <c r="A7" s="4" t="s">
        <v>29</v>
      </c>
      <c r="B7" s="5">
        <v>414974739.57000029</v>
      </c>
    </row>
    <row r="8" spans="1:2" x14ac:dyDescent="0.25">
      <c r="A8" s="4" t="s">
        <v>18</v>
      </c>
      <c r="B8" s="5">
        <v>236628518.72999999</v>
      </c>
    </row>
    <row r="9" spans="1:2" x14ac:dyDescent="0.25">
      <c r="A9" s="4" t="s">
        <v>43</v>
      </c>
      <c r="B9" s="5">
        <v>2165462575.2000003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F9BC3-F23D-49C9-A7D8-BBCC67679A80}">
  <dimension ref="A3:B9"/>
  <sheetViews>
    <sheetView tabSelected="1" topLeftCell="A3" zoomScale="99" workbookViewId="0">
      <selection activeCell="I8" sqref="I8"/>
    </sheetView>
  </sheetViews>
  <sheetFormatPr defaultRowHeight="15" x14ac:dyDescent="0.25"/>
  <cols>
    <col min="1" max="1" width="26.5703125" bestFit="1" customWidth="1"/>
    <col min="2" max="2" width="18.7109375" bestFit="1" customWidth="1"/>
  </cols>
  <sheetData>
    <row r="3" spans="1:2" x14ac:dyDescent="0.25">
      <c r="A3" s="3" t="s">
        <v>42</v>
      </c>
      <c r="B3" t="s">
        <v>44</v>
      </c>
    </row>
    <row r="4" spans="1:2" x14ac:dyDescent="0.25">
      <c r="A4" s="4" t="s">
        <v>25</v>
      </c>
      <c r="B4" s="5">
        <v>531973533.87999988</v>
      </c>
    </row>
    <row r="5" spans="1:2" x14ac:dyDescent="0.25">
      <c r="A5" s="4" t="s">
        <v>34</v>
      </c>
      <c r="B5" s="5">
        <v>517275867.83000022</v>
      </c>
    </row>
    <row r="6" spans="1:2" x14ac:dyDescent="0.25">
      <c r="A6" s="4" t="s">
        <v>31</v>
      </c>
      <c r="B6" s="5">
        <v>464609915.19000012</v>
      </c>
    </row>
    <row r="7" spans="1:2" x14ac:dyDescent="0.25">
      <c r="A7" s="4" t="s">
        <v>28</v>
      </c>
      <c r="B7" s="5">
        <v>414974739.57000029</v>
      </c>
    </row>
    <row r="8" spans="1:2" x14ac:dyDescent="0.25">
      <c r="A8" s="4" t="s">
        <v>17</v>
      </c>
      <c r="B8" s="5">
        <v>236628518.72999999</v>
      </c>
    </row>
    <row r="9" spans="1:2" x14ac:dyDescent="0.25">
      <c r="A9" s="4" t="s">
        <v>43</v>
      </c>
      <c r="B9" s="5">
        <v>2165462575.2000008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9971E-D565-44CE-8F87-954D9B963075}">
  <dimension ref="A1:B9"/>
  <sheetViews>
    <sheetView workbookViewId="0">
      <selection activeCell="B1" sqref="B1"/>
    </sheetView>
  </sheetViews>
  <sheetFormatPr defaultRowHeight="15" x14ac:dyDescent="0.25"/>
  <cols>
    <col min="1" max="1" width="16.7109375" bestFit="1" customWidth="1"/>
    <col min="2" max="2" width="11" bestFit="1" customWidth="1"/>
  </cols>
  <sheetData>
    <row r="1" spans="1:2" x14ac:dyDescent="0.25">
      <c r="A1" t="s">
        <v>46</v>
      </c>
      <c r="B1" s="6">
        <f>SUM(Raw_Data!L:L)</f>
        <v>2165462575.1999984</v>
      </c>
    </row>
    <row r="2" spans="1:2" x14ac:dyDescent="0.25">
      <c r="A2" t="s">
        <v>47</v>
      </c>
      <c r="B2">
        <f>SUM(Raw_Data!K:K)</f>
        <v>91448131.189999893</v>
      </c>
    </row>
    <row r="3" spans="1:2" x14ac:dyDescent="0.25">
      <c r="A3" t="s">
        <v>48</v>
      </c>
      <c r="B3">
        <f>SUM(Raw_Data!G:G)</f>
        <v>7138412</v>
      </c>
    </row>
    <row r="4" spans="1:2" x14ac:dyDescent="0.25">
      <c r="A4" t="s">
        <v>49</v>
      </c>
      <c r="B4">
        <f>SUM(Raw_Data!H:H)</f>
        <v>1421284</v>
      </c>
    </row>
    <row r="5" spans="1:2" x14ac:dyDescent="0.25">
      <c r="A5" t="s">
        <v>50</v>
      </c>
      <c r="B5">
        <f>SUM(Raw_Data!J:J)</f>
        <v>392314</v>
      </c>
    </row>
    <row r="6" spans="1:2" x14ac:dyDescent="0.25">
      <c r="A6" t="s">
        <v>51</v>
      </c>
      <c r="B6">
        <f>AVERAGE(Raw_Data!N:N)</f>
        <v>5.5157955033335417</v>
      </c>
    </row>
    <row r="7" spans="1:2" x14ac:dyDescent="0.25">
      <c r="A7" t="s">
        <v>52</v>
      </c>
      <c r="B7">
        <f>AVERAGE(Raw_Data!O:O)</f>
        <v>13.774939149910873</v>
      </c>
    </row>
    <row r="8" spans="1:2" x14ac:dyDescent="0.25">
      <c r="A8" t="s">
        <v>53</v>
      </c>
      <c r="B8">
        <f>AVERAGE(Raw_Data!Q:Q)</f>
        <v>260.17585867067373</v>
      </c>
    </row>
    <row r="9" spans="1:2" x14ac:dyDescent="0.25">
      <c r="A9" t="s">
        <v>54</v>
      </c>
      <c r="B9">
        <f>AVERAGE(Raw_Data!R:R)</f>
        <v>25.225426967494055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C7C92-F0D1-44E2-82DC-E03D0784206B}">
  <dimension ref="A3:B9"/>
  <sheetViews>
    <sheetView workbookViewId="0">
      <selection activeCell="H34" sqref="H34"/>
    </sheetView>
  </sheetViews>
  <sheetFormatPr defaultRowHeight="15" x14ac:dyDescent="0.25"/>
  <cols>
    <col min="1" max="1" width="13.140625" bestFit="1" customWidth="1"/>
    <col min="2" max="2" width="16" bestFit="1" customWidth="1"/>
  </cols>
  <sheetData>
    <row r="3" spans="1:2" x14ac:dyDescent="0.25">
      <c r="A3" s="3" t="s">
        <v>42</v>
      </c>
      <c r="B3" t="s">
        <v>45</v>
      </c>
    </row>
    <row r="4" spans="1:2" x14ac:dyDescent="0.25">
      <c r="A4" s="4" t="s">
        <v>26</v>
      </c>
      <c r="B4" s="2">
        <v>24.504882839346024</v>
      </c>
    </row>
    <row r="5" spans="1:2" x14ac:dyDescent="0.25">
      <c r="A5" s="4" t="s">
        <v>35</v>
      </c>
      <c r="B5" s="2">
        <v>24.586625186909551</v>
      </c>
    </row>
    <row r="6" spans="1:2" x14ac:dyDescent="0.25">
      <c r="A6" s="4" t="s">
        <v>29</v>
      </c>
      <c r="B6" s="2">
        <v>25.148517304494316</v>
      </c>
    </row>
    <row r="7" spans="1:2" x14ac:dyDescent="0.25">
      <c r="A7" s="4" t="s">
        <v>18</v>
      </c>
      <c r="B7" s="2">
        <v>25.795047251984485</v>
      </c>
    </row>
    <row r="8" spans="1:2" x14ac:dyDescent="0.25">
      <c r="A8" s="4" t="s">
        <v>32</v>
      </c>
      <c r="B8" s="2">
        <v>26.616495707607349</v>
      </c>
    </row>
    <row r="9" spans="1:2" x14ac:dyDescent="0.25">
      <c r="A9" s="4" t="s">
        <v>43</v>
      </c>
      <c r="B9" s="2">
        <v>25.225426967494013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64349-5700-46C1-899B-25991BB292B1}">
  <dimension ref="A3:B9"/>
  <sheetViews>
    <sheetView zoomScale="80" workbookViewId="0">
      <selection activeCell="D36" sqref="D36"/>
    </sheetView>
  </sheetViews>
  <sheetFormatPr defaultRowHeight="15" x14ac:dyDescent="0.25"/>
  <cols>
    <col min="1" max="1" width="14.140625" bestFit="1" customWidth="1"/>
    <col min="2" max="2" width="19.140625" bestFit="1" customWidth="1"/>
    <col min="3" max="6" width="13.42578125" bestFit="1" customWidth="1"/>
    <col min="7" max="7" width="15" bestFit="1" customWidth="1"/>
  </cols>
  <sheetData>
    <row r="3" spans="1:2" x14ac:dyDescent="0.25">
      <c r="A3" s="3" t="s">
        <v>42</v>
      </c>
      <c r="B3" t="s">
        <v>44</v>
      </c>
    </row>
    <row r="4" spans="1:2" x14ac:dyDescent="0.25">
      <c r="A4" s="4" t="s">
        <v>22</v>
      </c>
      <c r="B4" s="5">
        <v>470504578.66999996</v>
      </c>
    </row>
    <row r="5" spans="1:2" x14ac:dyDescent="0.25">
      <c r="A5" s="4" t="s">
        <v>20</v>
      </c>
      <c r="B5" s="5">
        <v>465323143.85999995</v>
      </c>
    </row>
    <row r="6" spans="1:2" x14ac:dyDescent="0.25">
      <c r="A6" s="4" t="s">
        <v>19</v>
      </c>
      <c r="B6" s="5">
        <v>444701318.09999996</v>
      </c>
    </row>
    <row r="7" spans="1:2" x14ac:dyDescent="0.25">
      <c r="A7" s="4" t="s">
        <v>21</v>
      </c>
      <c r="B7" s="5">
        <v>407432524.49000013</v>
      </c>
    </row>
    <row r="8" spans="1:2" x14ac:dyDescent="0.25">
      <c r="A8" s="4" t="s">
        <v>23</v>
      </c>
      <c r="B8" s="5">
        <v>377501010.07999992</v>
      </c>
    </row>
    <row r="9" spans="1:2" x14ac:dyDescent="0.25">
      <c r="A9" s="4" t="s">
        <v>43</v>
      </c>
      <c r="B9" s="5">
        <v>2165462575.1999998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E3BFB-D3E6-4339-BB2C-DA26E7A2080F}">
  <dimension ref="A3:B8"/>
  <sheetViews>
    <sheetView zoomScale="86" workbookViewId="0">
      <selection activeCell="AB33" sqref="AB33"/>
    </sheetView>
  </sheetViews>
  <sheetFormatPr defaultRowHeight="15" x14ac:dyDescent="0.25"/>
  <cols>
    <col min="1" max="1" width="13.140625" bestFit="1" customWidth="1"/>
    <col min="2" max="2" width="18.7109375" bestFit="1" customWidth="1"/>
  </cols>
  <sheetData>
    <row r="3" spans="1:2" x14ac:dyDescent="0.25">
      <c r="A3" s="3" t="s">
        <v>42</v>
      </c>
      <c r="B3" t="s">
        <v>44</v>
      </c>
    </row>
    <row r="4" spans="1:2" x14ac:dyDescent="0.25">
      <c r="A4" s="4" t="s">
        <v>38</v>
      </c>
      <c r="B4" s="5">
        <v>903901536.80999994</v>
      </c>
    </row>
    <row r="5" spans="1:2" x14ac:dyDescent="0.25">
      <c r="A5" s="4" t="s">
        <v>41</v>
      </c>
      <c r="B5" s="5">
        <v>517275867.83000022</v>
      </c>
    </row>
    <row r="6" spans="1:2" x14ac:dyDescent="0.25">
      <c r="A6" s="4" t="s">
        <v>39</v>
      </c>
      <c r="B6" s="5">
        <v>402365828.31000012</v>
      </c>
    </row>
    <row r="7" spans="1:2" x14ac:dyDescent="0.25">
      <c r="A7" s="4" t="s">
        <v>40</v>
      </c>
      <c r="B7" s="5">
        <v>341919342.25000006</v>
      </c>
    </row>
    <row r="8" spans="1:2" x14ac:dyDescent="0.25">
      <c r="A8" s="4" t="s">
        <v>43</v>
      </c>
      <c r="B8" s="5">
        <v>2165462575.2000003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5CAB4-326C-4B9D-B2FF-07AE5799CE82}">
  <dimension ref="A1:R764"/>
  <sheetViews>
    <sheetView topLeftCell="A2" workbookViewId="0">
      <selection activeCell="E12" sqref="E12"/>
    </sheetView>
  </sheetViews>
  <sheetFormatPr defaultRowHeight="15" x14ac:dyDescent="0.25"/>
  <cols>
    <col min="1" max="1" width="10.42578125" bestFit="1" customWidth="1"/>
    <col min="2" max="2" width="13.85546875" bestFit="1" customWidth="1"/>
    <col min="3" max="3" width="26.5703125" bestFit="1" customWidth="1"/>
    <col min="4" max="4" width="11" bestFit="1" customWidth="1"/>
    <col min="5" max="5" width="17.42578125" bestFit="1" customWidth="1"/>
    <col min="6" max="6" width="14" bestFit="1" customWidth="1"/>
    <col min="7" max="8" width="8.28515625" bestFit="1" customWidth="1"/>
    <col min="9" max="9" width="14.28515625" bestFit="1" customWidth="1"/>
    <col min="10" max="10" width="14" bestFit="1" customWidth="1"/>
    <col min="11" max="11" width="10.140625" bestFit="1" customWidth="1"/>
    <col min="12" max="12" width="14.140625" bestFit="1" customWidth="1"/>
    <col min="13" max="13" width="11" bestFit="1" customWidth="1"/>
    <col min="14" max="15" width="12" bestFit="1" customWidth="1"/>
    <col min="16" max="16" width="18.42578125" bestFit="1" customWidth="1"/>
    <col min="17" max="18" width="12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36</v>
      </c>
      <c r="L1" t="s">
        <v>37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</row>
    <row r="2" spans="1:18" x14ac:dyDescent="0.25">
      <c r="A2" s="1">
        <v>45292</v>
      </c>
      <c r="B2" s="2" t="s">
        <v>16</v>
      </c>
      <c r="C2" s="2" t="s">
        <v>17</v>
      </c>
      <c r="D2" s="2" t="s">
        <v>18</v>
      </c>
      <c r="E2" s="2" t="s">
        <v>38</v>
      </c>
      <c r="F2">
        <v>285708</v>
      </c>
      <c r="G2">
        <v>16956</v>
      </c>
      <c r="H2">
        <v>4087</v>
      </c>
      <c r="I2">
        <v>2547</v>
      </c>
      <c r="J2">
        <v>1148</v>
      </c>
      <c r="K2">
        <v>275457.87</v>
      </c>
      <c r="L2">
        <v>4615838.04</v>
      </c>
      <c r="M2" s="2" t="s">
        <v>19</v>
      </c>
      <c r="N2">
        <v>5.9347305640724093</v>
      </c>
      <c r="O2">
        <v>16.245451167728238</v>
      </c>
      <c r="P2">
        <v>24.103562160887002</v>
      </c>
      <c r="Q2">
        <v>239.94587979094075</v>
      </c>
      <c r="R2">
        <v>16.756965557019665</v>
      </c>
    </row>
    <row r="3" spans="1:18" x14ac:dyDescent="0.25">
      <c r="A3" s="1">
        <v>45293</v>
      </c>
      <c r="B3" s="2" t="s">
        <v>16</v>
      </c>
      <c r="C3" s="2" t="s">
        <v>17</v>
      </c>
      <c r="D3" s="2" t="s">
        <v>18</v>
      </c>
      <c r="E3" s="2" t="s">
        <v>38</v>
      </c>
      <c r="F3">
        <v>140449</v>
      </c>
      <c r="G3">
        <v>10082</v>
      </c>
      <c r="H3">
        <v>1815</v>
      </c>
      <c r="I3">
        <v>951</v>
      </c>
      <c r="J3">
        <v>565</v>
      </c>
      <c r="K3">
        <v>133025.85999999999</v>
      </c>
      <c r="L3">
        <v>3513169.9</v>
      </c>
      <c r="M3" s="2" t="s">
        <v>20</v>
      </c>
      <c r="N3">
        <v>7.1784063966279579</v>
      </c>
      <c r="O3">
        <v>13.194391985717118</v>
      </c>
      <c r="P3">
        <v>18.002380480063479</v>
      </c>
      <c r="Q3">
        <v>235.44399999999999</v>
      </c>
      <c r="R3">
        <v>26.40967628399471</v>
      </c>
    </row>
    <row r="4" spans="1:18" x14ac:dyDescent="0.25">
      <c r="A4" s="1">
        <v>45294</v>
      </c>
      <c r="B4" s="2" t="s">
        <v>16</v>
      </c>
      <c r="C4" s="2" t="s">
        <v>17</v>
      </c>
      <c r="D4" s="2" t="s">
        <v>18</v>
      </c>
      <c r="E4" s="2" t="s">
        <v>38</v>
      </c>
      <c r="F4">
        <v>140958</v>
      </c>
      <c r="G4">
        <v>7474</v>
      </c>
      <c r="H4">
        <v>1169</v>
      </c>
      <c r="I4">
        <v>683</v>
      </c>
      <c r="J4">
        <v>343</v>
      </c>
      <c r="K4">
        <v>135765.60999999999</v>
      </c>
      <c r="L4">
        <v>1051924.8799999999</v>
      </c>
      <c r="M4" s="2" t="s">
        <v>20</v>
      </c>
      <c r="N4">
        <v>5.3022886249804904</v>
      </c>
      <c r="O4">
        <v>18.165053518865399</v>
      </c>
      <c r="P4">
        <v>15.640888413165641</v>
      </c>
      <c r="Q4">
        <v>395.8181049562682</v>
      </c>
      <c r="R4">
        <v>7.7480952650674935</v>
      </c>
    </row>
    <row r="5" spans="1:18" x14ac:dyDescent="0.25">
      <c r="A5" s="1">
        <v>45295</v>
      </c>
      <c r="B5" s="2" t="s">
        <v>16</v>
      </c>
      <c r="C5" s="2" t="s">
        <v>17</v>
      </c>
      <c r="D5" s="2" t="s">
        <v>18</v>
      </c>
      <c r="E5" s="2" t="s">
        <v>39</v>
      </c>
      <c r="F5">
        <v>257823</v>
      </c>
      <c r="G5">
        <v>16841</v>
      </c>
      <c r="H5">
        <v>3179</v>
      </c>
      <c r="I5">
        <v>1584</v>
      </c>
      <c r="J5">
        <v>698</v>
      </c>
      <c r="K5">
        <v>229715.44</v>
      </c>
      <c r="L5">
        <v>3850639.56</v>
      </c>
      <c r="M5" s="2" t="s">
        <v>19</v>
      </c>
      <c r="N5">
        <v>6.5320006360953062</v>
      </c>
      <c r="O5">
        <v>13.640249391366309</v>
      </c>
      <c r="P5">
        <v>18.876551273677336</v>
      </c>
      <c r="Q5">
        <v>329.10521489971347</v>
      </c>
      <c r="R5">
        <v>16.762650172752863</v>
      </c>
    </row>
    <row r="6" spans="1:18" x14ac:dyDescent="0.25">
      <c r="A6" s="1">
        <v>45296</v>
      </c>
      <c r="B6" s="2" t="s">
        <v>16</v>
      </c>
      <c r="C6" s="2" t="s">
        <v>17</v>
      </c>
      <c r="D6" s="2" t="s">
        <v>18</v>
      </c>
      <c r="E6" s="2" t="s">
        <v>40</v>
      </c>
      <c r="F6">
        <v>98595</v>
      </c>
      <c r="G6">
        <v>7293</v>
      </c>
      <c r="H6">
        <v>1340</v>
      </c>
      <c r="I6">
        <v>854</v>
      </c>
      <c r="J6">
        <v>368</v>
      </c>
      <c r="K6">
        <v>52360.959999999999</v>
      </c>
      <c r="L6">
        <v>1543262.86</v>
      </c>
      <c r="M6" s="2" t="s">
        <v>19</v>
      </c>
      <c r="N6">
        <v>7.3969268218469502</v>
      </c>
      <c r="O6">
        <v>7.1796188125599887</v>
      </c>
      <c r="P6">
        <v>18.373783079665433</v>
      </c>
      <c r="Q6">
        <v>142.28521739130434</v>
      </c>
      <c r="R6">
        <v>29.473540210110741</v>
      </c>
    </row>
    <row r="7" spans="1:18" x14ac:dyDescent="0.25">
      <c r="A7" s="1">
        <v>45297</v>
      </c>
      <c r="B7" s="2" t="s">
        <v>16</v>
      </c>
      <c r="C7" s="2" t="s">
        <v>17</v>
      </c>
      <c r="D7" s="2" t="s">
        <v>18</v>
      </c>
      <c r="E7" s="2" t="s">
        <v>39</v>
      </c>
      <c r="F7">
        <v>68114</v>
      </c>
      <c r="G7">
        <v>5377</v>
      </c>
      <c r="H7">
        <v>909</v>
      </c>
      <c r="I7">
        <v>505</v>
      </c>
      <c r="J7">
        <v>222</v>
      </c>
      <c r="K7">
        <v>27454.35</v>
      </c>
      <c r="L7">
        <v>1717163.91</v>
      </c>
      <c r="M7" s="2" t="s">
        <v>20</v>
      </c>
      <c r="N7">
        <v>7.8941186833837387</v>
      </c>
      <c r="O7">
        <v>5.1058861818858094</v>
      </c>
      <c r="P7">
        <v>16.905337548819045</v>
      </c>
      <c r="Q7">
        <v>123.66824324324324</v>
      </c>
      <c r="R7">
        <v>62.546150610012624</v>
      </c>
    </row>
    <row r="8" spans="1:18" x14ac:dyDescent="0.25">
      <c r="A8" s="1">
        <v>45298</v>
      </c>
      <c r="B8" s="2" t="s">
        <v>16</v>
      </c>
      <c r="C8" s="2" t="s">
        <v>17</v>
      </c>
      <c r="D8" s="2" t="s">
        <v>18</v>
      </c>
      <c r="E8" s="2" t="s">
        <v>38</v>
      </c>
      <c r="F8">
        <v>175572</v>
      </c>
      <c r="G8">
        <v>6855</v>
      </c>
      <c r="H8">
        <v>1452</v>
      </c>
      <c r="I8">
        <v>757</v>
      </c>
      <c r="J8">
        <v>346</v>
      </c>
      <c r="K8">
        <v>95497.97</v>
      </c>
      <c r="L8">
        <v>2598807.52</v>
      </c>
      <c r="M8" s="2" t="s">
        <v>21</v>
      </c>
      <c r="N8">
        <v>3.9043811086050164</v>
      </c>
      <c r="O8">
        <v>13.931140773158278</v>
      </c>
      <c r="P8">
        <v>21.181619256017505</v>
      </c>
      <c r="Q8">
        <v>276.00569364161851</v>
      </c>
      <c r="R8">
        <v>27.213222647559942</v>
      </c>
    </row>
    <row r="9" spans="1:18" x14ac:dyDescent="0.25">
      <c r="A9" s="1">
        <v>45299</v>
      </c>
      <c r="B9" s="2" t="s">
        <v>16</v>
      </c>
      <c r="C9" s="2" t="s">
        <v>17</v>
      </c>
      <c r="D9" s="2" t="s">
        <v>18</v>
      </c>
      <c r="E9" s="2" t="s">
        <v>39</v>
      </c>
      <c r="F9">
        <v>231966</v>
      </c>
      <c r="G9">
        <v>9373</v>
      </c>
      <c r="H9">
        <v>1934</v>
      </c>
      <c r="I9">
        <v>1247</v>
      </c>
      <c r="J9">
        <v>553</v>
      </c>
      <c r="K9">
        <v>175649</v>
      </c>
      <c r="L9">
        <v>2558956.35</v>
      </c>
      <c r="M9" s="2" t="s">
        <v>19</v>
      </c>
      <c r="N9">
        <v>4.0406783752791355</v>
      </c>
      <c r="O9">
        <v>18.739891176784379</v>
      </c>
      <c r="P9">
        <v>20.633735196841993</v>
      </c>
      <c r="Q9">
        <v>317.62929475587703</v>
      </c>
      <c r="R9">
        <v>14.568579098087664</v>
      </c>
    </row>
    <row r="10" spans="1:18" x14ac:dyDescent="0.25">
      <c r="A10" s="1">
        <v>45300</v>
      </c>
      <c r="B10" s="2" t="s">
        <v>16</v>
      </c>
      <c r="C10" s="2" t="s">
        <v>17</v>
      </c>
      <c r="D10" s="2" t="s">
        <v>18</v>
      </c>
      <c r="E10" s="2" t="s">
        <v>38</v>
      </c>
      <c r="F10">
        <v>281339</v>
      </c>
      <c r="G10">
        <v>12310</v>
      </c>
      <c r="H10">
        <v>2329</v>
      </c>
      <c r="I10">
        <v>1319</v>
      </c>
      <c r="J10">
        <v>734</v>
      </c>
      <c r="K10">
        <v>126723.85</v>
      </c>
      <c r="L10">
        <v>4265725.03</v>
      </c>
      <c r="M10" s="2" t="s">
        <v>19</v>
      </c>
      <c r="N10">
        <v>4.3755042848663006</v>
      </c>
      <c r="O10">
        <v>10.294382615759545</v>
      </c>
      <c r="P10">
        <v>18.919577579203899</v>
      </c>
      <c r="Q10">
        <v>172.6482970027248</v>
      </c>
      <c r="R10">
        <v>33.661580120869118</v>
      </c>
    </row>
    <row r="11" spans="1:18" x14ac:dyDescent="0.25">
      <c r="A11" s="1">
        <v>45301</v>
      </c>
      <c r="B11" s="2" t="s">
        <v>16</v>
      </c>
      <c r="C11" s="2" t="s">
        <v>17</v>
      </c>
      <c r="D11" s="2" t="s">
        <v>18</v>
      </c>
      <c r="E11" s="2" t="s">
        <v>39</v>
      </c>
      <c r="F11">
        <v>98805</v>
      </c>
      <c r="G11">
        <v>6952</v>
      </c>
      <c r="H11">
        <v>1479</v>
      </c>
      <c r="I11">
        <v>955</v>
      </c>
      <c r="J11">
        <v>455</v>
      </c>
      <c r="K11">
        <v>49446.12</v>
      </c>
      <c r="L11">
        <v>3012430.04</v>
      </c>
      <c r="M11" s="2" t="s">
        <v>20</v>
      </c>
      <c r="N11">
        <v>7.0360811699812755</v>
      </c>
      <c r="O11">
        <v>7.1125028768699661</v>
      </c>
      <c r="P11">
        <v>21.274453394706562</v>
      </c>
      <c r="Q11">
        <v>108.67279120879121</v>
      </c>
      <c r="R11">
        <v>60.923486817570314</v>
      </c>
    </row>
    <row r="12" spans="1:18" x14ac:dyDescent="0.25">
      <c r="A12" s="1">
        <v>45302</v>
      </c>
      <c r="B12" s="2" t="s">
        <v>16</v>
      </c>
      <c r="C12" s="2" t="s">
        <v>17</v>
      </c>
      <c r="D12" s="2" t="s">
        <v>18</v>
      </c>
      <c r="E12" s="2" t="s">
        <v>40</v>
      </c>
      <c r="F12">
        <v>144093</v>
      </c>
      <c r="G12">
        <v>11451</v>
      </c>
      <c r="H12">
        <v>1776</v>
      </c>
      <c r="I12">
        <v>934</v>
      </c>
      <c r="J12">
        <v>480</v>
      </c>
      <c r="K12">
        <v>104177.45</v>
      </c>
      <c r="L12">
        <v>1723113.84</v>
      </c>
      <c r="M12" s="2" t="s">
        <v>20</v>
      </c>
      <c r="N12">
        <v>7.9469509275259727</v>
      </c>
      <c r="O12">
        <v>9.0976726923412805</v>
      </c>
      <c r="P12">
        <v>15.509562483625885</v>
      </c>
      <c r="Q12">
        <v>217.03635416666665</v>
      </c>
      <c r="R12">
        <v>16.540180624501751</v>
      </c>
    </row>
    <row r="13" spans="1:18" x14ac:dyDescent="0.25">
      <c r="A13" s="1">
        <v>45303</v>
      </c>
      <c r="B13" s="2" t="s">
        <v>16</v>
      </c>
      <c r="C13" s="2" t="s">
        <v>17</v>
      </c>
      <c r="D13" s="2" t="s">
        <v>18</v>
      </c>
      <c r="E13" s="2" t="s">
        <v>40</v>
      </c>
      <c r="F13">
        <v>158894</v>
      </c>
      <c r="G13">
        <v>6588</v>
      </c>
      <c r="H13">
        <v>1470</v>
      </c>
      <c r="I13">
        <v>867</v>
      </c>
      <c r="J13">
        <v>405</v>
      </c>
      <c r="K13">
        <v>102314.09</v>
      </c>
      <c r="L13">
        <v>3080880.49</v>
      </c>
      <c r="M13" s="2" t="s">
        <v>22</v>
      </c>
      <c r="N13">
        <v>4.1461603333039641</v>
      </c>
      <c r="O13">
        <v>15.530371888281724</v>
      </c>
      <c r="P13">
        <v>22.313296903460838</v>
      </c>
      <c r="Q13">
        <v>252.62738271604937</v>
      </c>
      <c r="R13">
        <v>30.111986433149141</v>
      </c>
    </row>
    <row r="14" spans="1:18" x14ac:dyDescent="0.25">
      <c r="A14" s="1">
        <v>45304</v>
      </c>
      <c r="B14" s="2" t="s">
        <v>16</v>
      </c>
      <c r="C14" s="2" t="s">
        <v>17</v>
      </c>
      <c r="D14" s="2" t="s">
        <v>18</v>
      </c>
      <c r="E14" s="2" t="s">
        <v>40</v>
      </c>
      <c r="F14">
        <v>66250</v>
      </c>
      <c r="G14">
        <v>4921</v>
      </c>
      <c r="H14">
        <v>871</v>
      </c>
      <c r="I14">
        <v>392</v>
      </c>
      <c r="J14">
        <v>210</v>
      </c>
      <c r="K14">
        <v>51283.71</v>
      </c>
      <c r="L14">
        <v>1495426.01</v>
      </c>
      <c r="M14" s="2" t="s">
        <v>20</v>
      </c>
      <c r="N14">
        <v>7.4279245283018867</v>
      </c>
      <c r="O14">
        <v>10.421400121926437</v>
      </c>
      <c r="P14">
        <v>17.699654541759806</v>
      </c>
      <c r="Q14">
        <v>244.20814285714286</v>
      </c>
      <c r="R14">
        <v>29.159864019198299</v>
      </c>
    </row>
    <row r="15" spans="1:18" x14ac:dyDescent="0.25">
      <c r="A15" s="1">
        <v>45305</v>
      </c>
      <c r="B15" s="2" t="s">
        <v>16</v>
      </c>
      <c r="C15" s="2" t="s">
        <v>17</v>
      </c>
      <c r="D15" s="2" t="s">
        <v>18</v>
      </c>
      <c r="E15" s="2" t="s">
        <v>40</v>
      </c>
      <c r="F15">
        <v>146445</v>
      </c>
      <c r="G15">
        <v>6570</v>
      </c>
      <c r="H15">
        <v>1466</v>
      </c>
      <c r="I15">
        <v>803</v>
      </c>
      <c r="J15">
        <v>436</v>
      </c>
      <c r="K15">
        <v>60478.27</v>
      </c>
      <c r="L15">
        <v>2107164.39</v>
      </c>
      <c r="M15" s="2" t="s">
        <v>19</v>
      </c>
      <c r="N15">
        <v>4.4863259244084812</v>
      </c>
      <c r="O15">
        <v>9.2052161339421605</v>
      </c>
      <c r="P15">
        <v>22.313546423135463</v>
      </c>
      <c r="Q15">
        <v>138.71162844036695</v>
      </c>
      <c r="R15">
        <v>34.84167768026434</v>
      </c>
    </row>
    <row r="16" spans="1:18" x14ac:dyDescent="0.25">
      <c r="A16" s="1">
        <v>45306</v>
      </c>
      <c r="B16" s="2" t="s">
        <v>16</v>
      </c>
      <c r="C16" s="2" t="s">
        <v>17</v>
      </c>
      <c r="D16" s="2" t="s">
        <v>18</v>
      </c>
      <c r="E16" s="2" t="s">
        <v>39</v>
      </c>
      <c r="F16">
        <v>95097</v>
      </c>
      <c r="G16">
        <v>7359</v>
      </c>
      <c r="H16">
        <v>1754</v>
      </c>
      <c r="I16">
        <v>1030</v>
      </c>
      <c r="J16">
        <v>512</v>
      </c>
      <c r="K16">
        <v>47007.7</v>
      </c>
      <c r="L16">
        <v>2174797.75</v>
      </c>
      <c r="M16" s="2" t="s">
        <v>23</v>
      </c>
      <c r="N16">
        <v>7.7384144610240071</v>
      </c>
      <c r="O16">
        <v>6.3877836662590024</v>
      </c>
      <c r="P16">
        <v>23.834760157630114</v>
      </c>
      <c r="Q16">
        <v>91.811914062499994</v>
      </c>
      <c r="R16">
        <v>46.264713015101783</v>
      </c>
    </row>
    <row r="17" spans="1:18" x14ac:dyDescent="0.25">
      <c r="A17" s="1">
        <v>45307</v>
      </c>
      <c r="B17" s="2" t="s">
        <v>16</v>
      </c>
      <c r="C17" s="2" t="s">
        <v>17</v>
      </c>
      <c r="D17" s="2" t="s">
        <v>18</v>
      </c>
      <c r="E17" s="2" t="s">
        <v>38</v>
      </c>
      <c r="F17">
        <v>234993</v>
      </c>
      <c r="G17">
        <v>13461</v>
      </c>
      <c r="H17">
        <v>2316</v>
      </c>
      <c r="I17">
        <v>1322</v>
      </c>
      <c r="J17">
        <v>778</v>
      </c>
      <c r="K17">
        <v>118803.89</v>
      </c>
      <c r="L17">
        <v>3598637.63</v>
      </c>
      <c r="M17" s="2" t="s">
        <v>23</v>
      </c>
      <c r="N17">
        <v>5.7282557352772212</v>
      </c>
      <c r="O17">
        <v>8.8257848599658271</v>
      </c>
      <c r="P17">
        <v>17.205259638956989</v>
      </c>
      <c r="Q17">
        <v>152.70422879177377</v>
      </c>
      <c r="R17">
        <v>30.290570704376766</v>
      </c>
    </row>
    <row r="18" spans="1:18" x14ac:dyDescent="0.25">
      <c r="A18" s="1">
        <v>45308</v>
      </c>
      <c r="B18" s="2" t="s">
        <v>16</v>
      </c>
      <c r="C18" s="2" t="s">
        <v>17</v>
      </c>
      <c r="D18" s="2" t="s">
        <v>18</v>
      </c>
      <c r="E18" s="2" t="s">
        <v>40</v>
      </c>
      <c r="F18">
        <v>72601</v>
      </c>
      <c r="G18">
        <v>4823</v>
      </c>
      <c r="H18">
        <v>859</v>
      </c>
      <c r="I18">
        <v>471</v>
      </c>
      <c r="J18">
        <v>224</v>
      </c>
      <c r="K18">
        <v>65231.88</v>
      </c>
      <c r="L18">
        <v>1540858.24</v>
      </c>
      <c r="M18" s="2" t="s">
        <v>19</v>
      </c>
      <c r="N18">
        <v>6.6431591851351905</v>
      </c>
      <c r="O18">
        <v>13.525166908563135</v>
      </c>
      <c r="P18">
        <v>17.810491395397055</v>
      </c>
      <c r="Q18">
        <v>291.21375</v>
      </c>
      <c r="R18">
        <v>23.621245317473605</v>
      </c>
    </row>
    <row r="19" spans="1:18" x14ac:dyDescent="0.25">
      <c r="A19" s="1">
        <v>45309</v>
      </c>
      <c r="B19" s="2" t="s">
        <v>16</v>
      </c>
      <c r="C19" s="2" t="s">
        <v>17</v>
      </c>
      <c r="D19" s="2" t="s">
        <v>18</v>
      </c>
      <c r="E19" s="2" t="s">
        <v>38</v>
      </c>
      <c r="F19">
        <v>64854</v>
      </c>
      <c r="G19">
        <v>3268</v>
      </c>
      <c r="H19">
        <v>774</v>
      </c>
      <c r="I19">
        <v>379</v>
      </c>
      <c r="J19">
        <v>187</v>
      </c>
      <c r="K19">
        <v>29837.69</v>
      </c>
      <c r="L19">
        <v>1134934.72</v>
      </c>
      <c r="M19" s="2" t="s">
        <v>23</v>
      </c>
      <c r="N19">
        <v>5.0390107009590777</v>
      </c>
      <c r="O19">
        <v>9.1302600979192157</v>
      </c>
      <c r="P19">
        <v>23.684210526315788</v>
      </c>
      <c r="Q19">
        <v>159.55983957219252</v>
      </c>
      <c r="R19">
        <v>38.036949911336968</v>
      </c>
    </row>
    <row r="20" spans="1:18" x14ac:dyDescent="0.25">
      <c r="A20" s="1">
        <v>45310</v>
      </c>
      <c r="B20" s="2" t="s">
        <v>16</v>
      </c>
      <c r="C20" s="2" t="s">
        <v>17</v>
      </c>
      <c r="D20" s="2" t="s">
        <v>18</v>
      </c>
      <c r="E20" s="2" t="s">
        <v>40</v>
      </c>
      <c r="F20">
        <v>140767</v>
      </c>
      <c r="G20">
        <v>7435</v>
      </c>
      <c r="H20">
        <v>1316</v>
      </c>
      <c r="I20">
        <v>748</v>
      </c>
      <c r="J20">
        <v>419</v>
      </c>
      <c r="K20">
        <v>134777.68</v>
      </c>
      <c r="L20">
        <v>2166219.39</v>
      </c>
      <c r="M20" s="2" t="s">
        <v>22</v>
      </c>
      <c r="N20">
        <v>5.2817776893732198</v>
      </c>
      <c r="O20">
        <v>18.127462004034967</v>
      </c>
      <c r="P20">
        <v>17.700067249495628</v>
      </c>
      <c r="Q20">
        <v>321.66510739856801</v>
      </c>
      <c r="R20">
        <v>16.072538049326862</v>
      </c>
    </row>
    <row r="21" spans="1:18" x14ac:dyDescent="0.25">
      <c r="A21" s="1">
        <v>45311</v>
      </c>
      <c r="B21" s="2" t="s">
        <v>16</v>
      </c>
      <c r="C21" s="2" t="s">
        <v>17</v>
      </c>
      <c r="D21" s="2" t="s">
        <v>18</v>
      </c>
      <c r="E21" s="2" t="s">
        <v>39</v>
      </c>
      <c r="F21">
        <v>102564</v>
      </c>
      <c r="G21">
        <v>4036</v>
      </c>
      <c r="H21">
        <v>954</v>
      </c>
      <c r="I21">
        <v>619</v>
      </c>
      <c r="J21">
        <v>352</v>
      </c>
      <c r="K21">
        <v>51435.05</v>
      </c>
      <c r="L21">
        <v>2739137.65</v>
      </c>
      <c r="M21" s="2" t="s">
        <v>19</v>
      </c>
      <c r="N21">
        <v>3.935103935103935</v>
      </c>
      <c r="O21">
        <v>12.744065906838454</v>
      </c>
      <c r="P21">
        <v>23.637264618434092</v>
      </c>
      <c r="Q21">
        <v>146.12230113636363</v>
      </c>
      <c r="R21">
        <v>53.254301298433653</v>
      </c>
    </row>
    <row r="22" spans="1:18" x14ac:dyDescent="0.25">
      <c r="A22" s="1">
        <v>45312</v>
      </c>
      <c r="B22" s="2" t="s">
        <v>16</v>
      </c>
      <c r="C22" s="2" t="s">
        <v>17</v>
      </c>
      <c r="D22" s="2" t="s">
        <v>18</v>
      </c>
      <c r="E22" s="2" t="s">
        <v>40</v>
      </c>
      <c r="F22">
        <v>99366</v>
      </c>
      <c r="G22">
        <v>6149</v>
      </c>
      <c r="H22">
        <v>1025</v>
      </c>
      <c r="I22">
        <v>585</v>
      </c>
      <c r="J22">
        <v>331</v>
      </c>
      <c r="K22">
        <v>39928.53</v>
      </c>
      <c r="L22">
        <v>2041493.6</v>
      </c>
      <c r="M22" s="2" t="s">
        <v>21</v>
      </c>
      <c r="N22">
        <v>6.1882333997544432</v>
      </c>
      <c r="O22">
        <v>6.4934997560578953</v>
      </c>
      <c r="P22">
        <v>16.669377134493413</v>
      </c>
      <c r="Q22">
        <v>120.63</v>
      </c>
      <c r="R22">
        <v>51.128694194351759</v>
      </c>
    </row>
    <row r="23" spans="1:18" x14ac:dyDescent="0.25">
      <c r="A23" s="1">
        <v>45313</v>
      </c>
      <c r="B23" s="2" t="s">
        <v>16</v>
      </c>
      <c r="C23" s="2" t="s">
        <v>17</v>
      </c>
      <c r="D23" s="2" t="s">
        <v>18</v>
      </c>
      <c r="E23" s="2" t="s">
        <v>38</v>
      </c>
      <c r="F23">
        <v>130732</v>
      </c>
      <c r="G23">
        <v>9877</v>
      </c>
      <c r="H23">
        <v>1815</v>
      </c>
      <c r="I23">
        <v>1127</v>
      </c>
      <c r="J23">
        <v>550</v>
      </c>
      <c r="K23">
        <v>65158.43</v>
      </c>
      <c r="L23">
        <v>2707316.61</v>
      </c>
      <c r="M23" s="2" t="s">
        <v>22</v>
      </c>
      <c r="N23">
        <v>7.5551509959306067</v>
      </c>
      <c r="O23">
        <v>6.5969859269008806</v>
      </c>
      <c r="P23">
        <v>18.376025108838718</v>
      </c>
      <c r="Q23">
        <v>118.46987272727273</v>
      </c>
      <c r="R23">
        <v>41.54975204282853</v>
      </c>
    </row>
    <row r="24" spans="1:18" x14ac:dyDescent="0.25">
      <c r="A24" s="1">
        <v>45314</v>
      </c>
      <c r="B24" s="2" t="s">
        <v>16</v>
      </c>
      <c r="C24" s="2" t="s">
        <v>17</v>
      </c>
      <c r="D24" s="2" t="s">
        <v>18</v>
      </c>
      <c r="E24" s="2" t="s">
        <v>39</v>
      </c>
      <c r="F24">
        <v>60282</v>
      </c>
      <c r="G24">
        <v>3890</v>
      </c>
      <c r="H24">
        <v>823</v>
      </c>
      <c r="I24">
        <v>440</v>
      </c>
      <c r="J24">
        <v>184</v>
      </c>
      <c r="K24">
        <v>50617.5</v>
      </c>
      <c r="L24">
        <v>1332250.53</v>
      </c>
      <c r="M24" s="2" t="s">
        <v>21</v>
      </c>
      <c r="N24">
        <v>6.4530042135297432</v>
      </c>
      <c r="O24">
        <v>13.012210796915166</v>
      </c>
      <c r="P24">
        <v>21.156812339331619</v>
      </c>
      <c r="Q24">
        <v>275.09510869565219</v>
      </c>
      <c r="R24">
        <v>26.3199591050526</v>
      </c>
    </row>
    <row r="25" spans="1:18" x14ac:dyDescent="0.25">
      <c r="A25" s="1">
        <v>45315</v>
      </c>
      <c r="B25" s="2" t="s">
        <v>16</v>
      </c>
      <c r="C25" s="2" t="s">
        <v>17</v>
      </c>
      <c r="D25" s="2" t="s">
        <v>18</v>
      </c>
      <c r="E25" s="2" t="s">
        <v>39</v>
      </c>
      <c r="F25">
        <v>227987</v>
      </c>
      <c r="G25">
        <v>9955</v>
      </c>
      <c r="H25">
        <v>2151</v>
      </c>
      <c r="I25">
        <v>1233</v>
      </c>
      <c r="J25">
        <v>739</v>
      </c>
      <c r="K25">
        <v>116682</v>
      </c>
      <c r="L25">
        <v>4318918.7</v>
      </c>
      <c r="M25" s="2" t="s">
        <v>20</v>
      </c>
      <c r="N25">
        <v>4.3664770359713492</v>
      </c>
      <c r="O25">
        <v>11.720944249121045</v>
      </c>
      <c r="P25">
        <v>21.607232546459066</v>
      </c>
      <c r="Q25">
        <v>157.89174560216509</v>
      </c>
      <c r="R25">
        <v>37.014438388097567</v>
      </c>
    </row>
    <row r="26" spans="1:18" x14ac:dyDescent="0.25">
      <c r="A26" s="1">
        <v>45316</v>
      </c>
      <c r="B26" s="2" t="s">
        <v>16</v>
      </c>
      <c r="C26" s="2" t="s">
        <v>17</v>
      </c>
      <c r="D26" s="2" t="s">
        <v>18</v>
      </c>
      <c r="E26" s="2" t="s">
        <v>39</v>
      </c>
      <c r="F26">
        <v>272168</v>
      </c>
      <c r="G26">
        <v>16989</v>
      </c>
      <c r="H26">
        <v>3561</v>
      </c>
      <c r="I26">
        <v>1864</v>
      </c>
      <c r="J26">
        <v>959</v>
      </c>
      <c r="K26">
        <v>166206.38</v>
      </c>
      <c r="L26">
        <v>4449882.8899999997</v>
      </c>
      <c r="M26" s="2" t="s">
        <v>19</v>
      </c>
      <c r="N26">
        <v>6.2421004673583962</v>
      </c>
      <c r="O26">
        <v>9.783176172817706</v>
      </c>
      <c r="P26">
        <v>20.960621578668551</v>
      </c>
      <c r="Q26">
        <v>173.31217935349324</v>
      </c>
      <c r="R26">
        <v>26.773237525539027</v>
      </c>
    </row>
    <row r="27" spans="1:18" x14ac:dyDescent="0.25">
      <c r="A27" s="1">
        <v>45317</v>
      </c>
      <c r="B27" s="2" t="s">
        <v>16</v>
      </c>
      <c r="C27" s="2" t="s">
        <v>17</v>
      </c>
      <c r="D27" s="2" t="s">
        <v>18</v>
      </c>
      <c r="E27" s="2" t="s">
        <v>38</v>
      </c>
      <c r="F27">
        <v>264817</v>
      </c>
      <c r="G27">
        <v>10684</v>
      </c>
      <c r="H27">
        <v>1820</v>
      </c>
      <c r="I27">
        <v>1080</v>
      </c>
      <c r="J27">
        <v>558</v>
      </c>
      <c r="K27">
        <v>178964.33</v>
      </c>
      <c r="L27">
        <v>2959111.96</v>
      </c>
      <c r="M27" s="2" t="s">
        <v>20</v>
      </c>
      <c r="N27">
        <v>4.0344841909696134</v>
      </c>
      <c r="O27">
        <v>16.750686072631972</v>
      </c>
      <c r="P27">
        <v>17.034818420067392</v>
      </c>
      <c r="Q27">
        <v>320.72460573476701</v>
      </c>
      <c r="R27">
        <v>16.534646652771535</v>
      </c>
    </row>
    <row r="28" spans="1:18" x14ac:dyDescent="0.25">
      <c r="A28" s="1">
        <v>45318</v>
      </c>
      <c r="B28" s="2" t="s">
        <v>16</v>
      </c>
      <c r="C28" s="2" t="s">
        <v>17</v>
      </c>
      <c r="D28" s="2" t="s">
        <v>18</v>
      </c>
      <c r="E28" s="2" t="s">
        <v>39</v>
      </c>
      <c r="F28">
        <v>296970</v>
      </c>
      <c r="G28">
        <v>16468</v>
      </c>
      <c r="H28">
        <v>3817</v>
      </c>
      <c r="I28">
        <v>2120</v>
      </c>
      <c r="J28">
        <v>1220</v>
      </c>
      <c r="K28">
        <v>288391.33</v>
      </c>
      <c r="L28">
        <v>6571498.9500000002</v>
      </c>
      <c r="M28" s="2" t="s">
        <v>22</v>
      </c>
      <c r="N28">
        <v>5.5453412802640001</v>
      </c>
      <c r="O28">
        <v>17.512225528297304</v>
      </c>
      <c r="P28">
        <v>23.178285159096429</v>
      </c>
      <c r="Q28">
        <v>236.38633606557377</v>
      </c>
      <c r="R28">
        <v>22.786742410044017</v>
      </c>
    </row>
    <row r="29" spans="1:18" x14ac:dyDescent="0.25">
      <c r="A29" s="1">
        <v>45319</v>
      </c>
      <c r="B29" s="2" t="s">
        <v>16</v>
      </c>
      <c r="C29" s="2" t="s">
        <v>17</v>
      </c>
      <c r="D29" s="2" t="s">
        <v>18</v>
      </c>
      <c r="E29" s="2" t="s">
        <v>40</v>
      </c>
      <c r="F29">
        <v>280154</v>
      </c>
      <c r="G29">
        <v>13508</v>
      </c>
      <c r="H29">
        <v>2070</v>
      </c>
      <c r="I29">
        <v>1200</v>
      </c>
      <c r="J29">
        <v>490</v>
      </c>
      <c r="K29">
        <v>258351.31</v>
      </c>
      <c r="L29">
        <v>2606824.7599999998</v>
      </c>
      <c r="M29" s="2" t="s">
        <v>19</v>
      </c>
      <c r="N29">
        <v>4.8216338156870862</v>
      </c>
      <c r="O29">
        <v>19.125800266508737</v>
      </c>
      <c r="P29">
        <v>15.324252294936333</v>
      </c>
      <c r="Q29">
        <v>527.2475714285714</v>
      </c>
      <c r="R29">
        <v>10.090232404859877</v>
      </c>
    </row>
    <row r="30" spans="1:18" x14ac:dyDescent="0.25">
      <c r="A30" s="1">
        <v>45320</v>
      </c>
      <c r="B30" s="2" t="s">
        <v>16</v>
      </c>
      <c r="C30" s="2" t="s">
        <v>17</v>
      </c>
      <c r="D30" s="2" t="s">
        <v>18</v>
      </c>
      <c r="E30" s="2" t="s">
        <v>38</v>
      </c>
      <c r="F30">
        <v>246082</v>
      </c>
      <c r="G30">
        <v>9319</v>
      </c>
      <c r="H30">
        <v>1989</v>
      </c>
      <c r="I30">
        <v>960</v>
      </c>
      <c r="J30">
        <v>442</v>
      </c>
      <c r="K30">
        <v>195337.39</v>
      </c>
      <c r="L30">
        <v>2170310.94</v>
      </c>
      <c r="M30" s="2" t="s">
        <v>21</v>
      </c>
      <c r="N30">
        <v>3.7869490657585687</v>
      </c>
      <c r="O30">
        <v>20.961196480309049</v>
      </c>
      <c r="P30">
        <v>21.343491790964698</v>
      </c>
      <c r="Q30">
        <v>441.93979638009051</v>
      </c>
      <c r="R30">
        <v>11.110576116533551</v>
      </c>
    </row>
    <row r="31" spans="1:18" x14ac:dyDescent="0.25">
      <c r="A31" s="1">
        <v>45321</v>
      </c>
      <c r="B31" s="2" t="s">
        <v>16</v>
      </c>
      <c r="C31" s="2" t="s">
        <v>17</v>
      </c>
      <c r="D31" s="2" t="s">
        <v>18</v>
      </c>
      <c r="E31" s="2" t="s">
        <v>40</v>
      </c>
      <c r="F31">
        <v>162479</v>
      </c>
      <c r="G31">
        <v>9378</v>
      </c>
      <c r="H31">
        <v>2210</v>
      </c>
      <c r="I31">
        <v>1154</v>
      </c>
      <c r="J31">
        <v>604</v>
      </c>
      <c r="K31">
        <v>157517.73000000001</v>
      </c>
      <c r="L31">
        <v>4429720.09</v>
      </c>
      <c r="M31" s="2" t="s">
        <v>22</v>
      </c>
      <c r="N31">
        <v>5.7718228201798389</v>
      </c>
      <c r="O31">
        <v>16.796516314779272</v>
      </c>
      <c r="P31">
        <v>23.565792279803794</v>
      </c>
      <c r="Q31">
        <v>260.79094370860929</v>
      </c>
      <c r="R31">
        <v>28.122041182284683</v>
      </c>
    </row>
    <row r="32" spans="1:18" x14ac:dyDescent="0.25">
      <c r="A32" s="1">
        <v>45322</v>
      </c>
      <c r="B32" s="2" t="s">
        <v>16</v>
      </c>
      <c r="C32" s="2" t="s">
        <v>17</v>
      </c>
      <c r="D32" s="2" t="s">
        <v>18</v>
      </c>
      <c r="E32" s="2" t="s">
        <v>39</v>
      </c>
      <c r="F32">
        <v>256182</v>
      </c>
      <c r="G32">
        <v>17232</v>
      </c>
      <c r="H32">
        <v>3397</v>
      </c>
      <c r="I32">
        <v>1850</v>
      </c>
      <c r="J32">
        <v>871</v>
      </c>
      <c r="K32">
        <v>212839.26</v>
      </c>
      <c r="L32">
        <v>3579677.63</v>
      </c>
      <c r="M32" s="2" t="s">
        <v>23</v>
      </c>
      <c r="N32">
        <v>6.7264679017261173</v>
      </c>
      <c r="O32">
        <v>12.351396239554319</v>
      </c>
      <c r="P32">
        <v>19.713324048282267</v>
      </c>
      <c r="Q32">
        <v>244.36195177956373</v>
      </c>
      <c r="R32">
        <v>16.818690452128049</v>
      </c>
    </row>
    <row r="33" spans="1:18" x14ac:dyDescent="0.25">
      <c r="A33" s="1">
        <v>45323</v>
      </c>
      <c r="B33" s="2" t="s">
        <v>16</v>
      </c>
      <c r="C33" s="2" t="s">
        <v>17</v>
      </c>
      <c r="D33" s="2" t="s">
        <v>18</v>
      </c>
      <c r="E33" s="2" t="s">
        <v>39</v>
      </c>
      <c r="F33">
        <v>269710</v>
      </c>
      <c r="G33">
        <v>19961</v>
      </c>
      <c r="H33">
        <v>3100</v>
      </c>
      <c r="I33">
        <v>1479</v>
      </c>
      <c r="J33">
        <v>780</v>
      </c>
      <c r="K33">
        <v>108988.07</v>
      </c>
      <c r="L33">
        <v>2698691.68</v>
      </c>
      <c r="M33" s="2" t="s">
        <v>23</v>
      </c>
      <c r="N33">
        <v>7.4009120907641543</v>
      </c>
      <c r="O33">
        <v>5.4600505986674017</v>
      </c>
      <c r="P33">
        <v>15.530284053905117</v>
      </c>
      <c r="Q33">
        <v>139.72829487179487</v>
      </c>
      <c r="R33">
        <v>24.761349384386751</v>
      </c>
    </row>
    <row r="34" spans="1:18" x14ac:dyDescent="0.25">
      <c r="A34" s="1">
        <v>45324</v>
      </c>
      <c r="B34" s="2" t="s">
        <v>16</v>
      </c>
      <c r="C34" s="2" t="s">
        <v>17</v>
      </c>
      <c r="D34" s="2" t="s">
        <v>18</v>
      </c>
      <c r="E34" s="2" t="s">
        <v>38</v>
      </c>
      <c r="F34">
        <v>85354</v>
      </c>
      <c r="G34">
        <v>4637</v>
      </c>
      <c r="H34">
        <v>948</v>
      </c>
      <c r="I34">
        <v>471</v>
      </c>
      <c r="J34">
        <v>279</v>
      </c>
      <c r="K34">
        <v>39467.1</v>
      </c>
      <c r="L34">
        <v>1069477.6599999999</v>
      </c>
      <c r="M34" s="2" t="s">
        <v>22</v>
      </c>
      <c r="N34">
        <v>5.4326686505611921</v>
      </c>
      <c r="O34">
        <v>8.5113435410825957</v>
      </c>
      <c r="P34">
        <v>20.444252749622603</v>
      </c>
      <c r="Q34">
        <v>141.45913978494625</v>
      </c>
      <c r="R34">
        <v>27.097953992059207</v>
      </c>
    </row>
    <row r="35" spans="1:18" x14ac:dyDescent="0.25">
      <c r="A35" s="1">
        <v>45325</v>
      </c>
      <c r="B35" s="2" t="s">
        <v>16</v>
      </c>
      <c r="C35" s="2" t="s">
        <v>17</v>
      </c>
      <c r="D35" s="2" t="s">
        <v>18</v>
      </c>
      <c r="E35" s="2" t="s">
        <v>38</v>
      </c>
      <c r="F35">
        <v>96853</v>
      </c>
      <c r="G35">
        <v>3046</v>
      </c>
      <c r="H35">
        <v>699</v>
      </c>
      <c r="I35">
        <v>327</v>
      </c>
      <c r="J35">
        <v>162</v>
      </c>
      <c r="K35">
        <v>53820.55</v>
      </c>
      <c r="L35">
        <v>868489.67</v>
      </c>
      <c r="M35" s="2" t="s">
        <v>20</v>
      </c>
      <c r="N35">
        <v>3.1449722775752949</v>
      </c>
      <c r="O35">
        <v>17.669254760341431</v>
      </c>
      <c r="P35">
        <v>22.948128693368353</v>
      </c>
      <c r="Q35">
        <v>332.22561728395061</v>
      </c>
      <c r="R35">
        <v>16.136766904091466</v>
      </c>
    </row>
    <row r="36" spans="1:18" x14ac:dyDescent="0.25">
      <c r="A36" s="1">
        <v>45326</v>
      </c>
      <c r="B36" s="2" t="s">
        <v>16</v>
      </c>
      <c r="C36" s="2" t="s">
        <v>17</v>
      </c>
      <c r="D36" s="2" t="s">
        <v>18</v>
      </c>
      <c r="E36" s="2" t="s">
        <v>38</v>
      </c>
      <c r="F36">
        <v>251547</v>
      </c>
      <c r="G36">
        <v>15827</v>
      </c>
      <c r="H36">
        <v>2989</v>
      </c>
      <c r="I36">
        <v>1925</v>
      </c>
      <c r="J36">
        <v>804</v>
      </c>
      <c r="K36">
        <v>123902.52</v>
      </c>
      <c r="L36">
        <v>5851415.0499999998</v>
      </c>
      <c r="M36" s="2" t="s">
        <v>19</v>
      </c>
      <c r="N36">
        <v>6.2918659336028648</v>
      </c>
      <c r="O36">
        <v>7.8285537372843876</v>
      </c>
      <c r="P36">
        <v>18.885448916408667</v>
      </c>
      <c r="Q36">
        <v>154.10761194029851</v>
      </c>
      <c r="R36">
        <v>47.225956744059765</v>
      </c>
    </row>
    <row r="37" spans="1:18" x14ac:dyDescent="0.25">
      <c r="A37" s="1">
        <v>45327</v>
      </c>
      <c r="B37" s="2" t="s">
        <v>16</v>
      </c>
      <c r="C37" s="2" t="s">
        <v>17</v>
      </c>
      <c r="D37" s="2" t="s">
        <v>18</v>
      </c>
      <c r="E37" s="2" t="s">
        <v>38</v>
      </c>
      <c r="F37">
        <v>189912</v>
      </c>
      <c r="G37">
        <v>12514</v>
      </c>
      <c r="H37">
        <v>2711</v>
      </c>
      <c r="I37">
        <v>1616</v>
      </c>
      <c r="J37">
        <v>890</v>
      </c>
      <c r="K37">
        <v>132682.38</v>
      </c>
      <c r="L37">
        <v>5279956.6399999997</v>
      </c>
      <c r="M37" s="2" t="s">
        <v>20</v>
      </c>
      <c r="N37">
        <v>6.5893677071485746</v>
      </c>
      <c r="O37">
        <v>10.602715358798147</v>
      </c>
      <c r="P37">
        <v>21.663736614991212</v>
      </c>
      <c r="Q37">
        <v>149.08132584269663</v>
      </c>
      <c r="R37">
        <v>39.79395485670365</v>
      </c>
    </row>
    <row r="38" spans="1:18" x14ac:dyDescent="0.25">
      <c r="A38" s="1">
        <v>45328</v>
      </c>
      <c r="B38" s="2" t="s">
        <v>16</v>
      </c>
      <c r="C38" s="2" t="s">
        <v>17</v>
      </c>
      <c r="D38" s="2" t="s">
        <v>18</v>
      </c>
      <c r="E38" s="2" t="s">
        <v>40</v>
      </c>
      <c r="F38">
        <v>202653</v>
      </c>
      <c r="G38">
        <v>7479</v>
      </c>
      <c r="H38">
        <v>1790</v>
      </c>
      <c r="I38">
        <v>1010</v>
      </c>
      <c r="J38">
        <v>592</v>
      </c>
      <c r="K38">
        <v>93098.57</v>
      </c>
      <c r="L38">
        <v>3172503.59</v>
      </c>
      <c r="M38" s="2" t="s">
        <v>19</v>
      </c>
      <c r="N38">
        <v>3.6905449216147801</v>
      </c>
      <c r="O38">
        <v>12.447997058430273</v>
      </c>
      <c r="P38">
        <v>23.933680973392164</v>
      </c>
      <c r="Q38">
        <v>157.26109797297298</v>
      </c>
      <c r="R38">
        <v>34.07682405862947</v>
      </c>
    </row>
    <row r="39" spans="1:18" x14ac:dyDescent="0.25">
      <c r="A39" s="1">
        <v>45329</v>
      </c>
      <c r="B39" s="2" t="s">
        <v>16</v>
      </c>
      <c r="C39" s="2" t="s">
        <v>17</v>
      </c>
      <c r="D39" s="2" t="s">
        <v>18</v>
      </c>
      <c r="E39" s="2" t="s">
        <v>38</v>
      </c>
      <c r="F39">
        <v>72831</v>
      </c>
      <c r="G39">
        <v>5085</v>
      </c>
      <c r="H39">
        <v>1192</v>
      </c>
      <c r="I39">
        <v>648</v>
      </c>
      <c r="J39">
        <v>367</v>
      </c>
      <c r="K39">
        <v>65890.34</v>
      </c>
      <c r="L39">
        <v>2806226.91</v>
      </c>
      <c r="M39" s="2" t="s">
        <v>19</v>
      </c>
      <c r="N39">
        <v>6.9819170408205302</v>
      </c>
      <c r="O39">
        <v>12.95778564405113</v>
      </c>
      <c r="P39">
        <v>23.441494591937069</v>
      </c>
      <c r="Q39">
        <v>179.53771117166212</v>
      </c>
      <c r="R39">
        <v>42.589352399759967</v>
      </c>
    </row>
    <row r="40" spans="1:18" x14ac:dyDescent="0.25">
      <c r="A40" s="1">
        <v>45330</v>
      </c>
      <c r="B40" s="2" t="s">
        <v>16</v>
      </c>
      <c r="C40" s="2" t="s">
        <v>17</v>
      </c>
      <c r="D40" s="2" t="s">
        <v>18</v>
      </c>
      <c r="E40" s="2" t="s">
        <v>40</v>
      </c>
      <c r="F40">
        <v>215776</v>
      </c>
      <c r="G40">
        <v>15117</v>
      </c>
      <c r="H40">
        <v>2292</v>
      </c>
      <c r="I40">
        <v>1195</v>
      </c>
      <c r="J40">
        <v>520</v>
      </c>
      <c r="K40">
        <v>203852.45</v>
      </c>
      <c r="L40">
        <v>3424734.79</v>
      </c>
      <c r="M40" s="2" t="s">
        <v>21</v>
      </c>
      <c r="N40">
        <v>7.0058764644816849</v>
      </c>
      <c r="O40">
        <v>13.484980485546075</v>
      </c>
      <c r="P40">
        <v>15.161738440166699</v>
      </c>
      <c r="Q40">
        <v>392.02394230769232</v>
      </c>
      <c r="R40">
        <v>16.800066862085789</v>
      </c>
    </row>
    <row r="41" spans="1:18" x14ac:dyDescent="0.25">
      <c r="A41" s="1">
        <v>45331</v>
      </c>
      <c r="B41" s="2" t="s">
        <v>16</v>
      </c>
      <c r="C41" s="2" t="s">
        <v>17</v>
      </c>
      <c r="D41" s="2" t="s">
        <v>18</v>
      </c>
      <c r="E41" s="2" t="s">
        <v>38</v>
      </c>
      <c r="F41">
        <v>72443</v>
      </c>
      <c r="G41">
        <v>3074</v>
      </c>
      <c r="H41">
        <v>557</v>
      </c>
      <c r="I41">
        <v>275</v>
      </c>
      <c r="J41">
        <v>119</v>
      </c>
      <c r="K41">
        <v>67537.919999999998</v>
      </c>
      <c r="L41">
        <v>364638.44</v>
      </c>
      <c r="M41" s="2" t="s">
        <v>23</v>
      </c>
      <c r="N41">
        <v>4.2433361401377638</v>
      </c>
      <c r="O41">
        <v>21.970696161353285</v>
      </c>
      <c r="P41">
        <v>18.119713728041638</v>
      </c>
      <c r="Q41">
        <v>567.5455462184874</v>
      </c>
      <c r="R41">
        <v>5.3990179146766737</v>
      </c>
    </row>
    <row r="42" spans="1:18" x14ac:dyDescent="0.25">
      <c r="A42" s="1">
        <v>45332</v>
      </c>
      <c r="B42" s="2" t="s">
        <v>16</v>
      </c>
      <c r="C42" s="2" t="s">
        <v>17</v>
      </c>
      <c r="D42" s="2" t="s">
        <v>18</v>
      </c>
      <c r="E42" s="2" t="s">
        <v>40</v>
      </c>
      <c r="F42">
        <v>155169</v>
      </c>
      <c r="G42">
        <v>10534</v>
      </c>
      <c r="H42">
        <v>1826</v>
      </c>
      <c r="I42">
        <v>964</v>
      </c>
      <c r="J42">
        <v>488</v>
      </c>
      <c r="K42">
        <v>65548.509999999995</v>
      </c>
      <c r="L42">
        <v>2007650.15</v>
      </c>
      <c r="M42" s="2" t="s">
        <v>23</v>
      </c>
      <c r="N42">
        <v>6.7887271297746326</v>
      </c>
      <c r="O42">
        <v>6.2225659768369086</v>
      </c>
      <c r="P42">
        <v>17.334345927472945</v>
      </c>
      <c r="Q42">
        <v>134.32071721311473</v>
      </c>
      <c r="R42">
        <v>30.628463560804054</v>
      </c>
    </row>
    <row r="43" spans="1:18" x14ac:dyDescent="0.25">
      <c r="A43" s="1">
        <v>45333</v>
      </c>
      <c r="B43" s="2" t="s">
        <v>16</v>
      </c>
      <c r="C43" s="2" t="s">
        <v>17</v>
      </c>
      <c r="D43" s="2" t="s">
        <v>18</v>
      </c>
      <c r="E43" s="2" t="s">
        <v>38</v>
      </c>
      <c r="F43">
        <v>145600</v>
      </c>
      <c r="G43">
        <v>10817</v>
      </c>
      <c r="H43">
        <v>2620</v>
      </c>
      <c r="I43">
        <v>1253</v>
      </c>
      <c r="J43">
        <v>628</v>
      </c>
      <c r="K43">
        <v>143250</v>
      </c>
      <c r="L43">
        <v>3766197.11</v>
      </c>
      <c r="M43" s="2" t="s">
        <v>22</v>
      </c>
      <c r="N43">
        <v>7.4292582417582427</v>
      </c>
      <c r="O43">
        <v>13.243043357677729</v>
      </c>
      <c r="P43">
        <v>24.221133401127855</v>
      </c>
      <c r="Q43">
        <v>228.10509554140128</v>
      </c>
      <c r="R43">
        <v>26.291079301919719</v>
      </c>
    </row>
    <row r="44" spans="1:18" x14ac:dyDescent="0.25">
      <c r="A44" s="1">
        <v>45334</v>
      </c>
      <c r="B44" s="2" t="s">
        <v>16</v>
      </c>
      <c r="C44" s="2" t="s">
        <v>17</v>
      </c>
      <c r="D44" s="2" t="s">
        <v>18</v>
      </c>
      <c r="E44" s="2" t="s">
        <v>39</v>
      </c>
      <c r="F44">
        <v>235449</v>
      </c>
      <c r="G44">
        <v>17901</v>
      </c>
      <c r="H44">
        <v>3572</v>
      </c>
      <c r="I44">
        <v>1970</v>
      </c>
      <c r="J44">
        <v>869</v>
      </c>
      <c r="K44">
        <v>156170.04999999999</v>
      </c>
      <c r="L44">
        <v>3779197.39</v>
      </c>
      <c r="M44" s="2" t="s">
        <v>21</v>
      </c>
      <c r="N44">
        <v>7.6029203776614036</v>
      </c>
      <c r="O44">
        <v>8.7240964191944581</v>
      </c>
      <c r="P44">
        <v>19.954192503212113</v>
      </c>
      <c r="Q44">
        <v>179.71237054085154</v>
      </c>
      <c r="R44">
        <v>24.1992455659712</v>
      </c>
    </row>
    <row r="45" spans="1:18" x14ac:dyDescent="0.25">
      <c r="A45" s="1">
        <v>45335</v>
      </c>
      <c r="B45" s="2" t="s">
        <v>16</v>
      </c>
      <c r="C45" s="2" t="s">
        <v>17</v>
      </c>
      <c r="D45" s="2" t="s">
        <v>18</v>
      </c>
      <c r="E45" s="2" t="s">
        <v>40</v>
      </c>
      <c r="F45">
        <v>92082</v>
      </c>
      <c r="G45">
        <v>5873</v>
      </c>
      <c r="H45">
        <v>1376</v>
      </c>
      <c r="I45">
        <v>740</v>
      </c>
      <c r="J45">
        <v>425</v>
      </c>
      <c r="K45">
        <v>72924.97</v>
      </c>
      <c r="L45">
        <v>2747864.33</v>
      </c>
      <c r="M45" s="2" t="s">
        <v>20</v>
      </c>
      <c r="N45">
        <v>6.378010903325297</v>
      </c>
      <c r="O45">
        <v>12.416987910778138</v>
      </c>
      <c r="P45">
        <v>23.429252511493274</v>
      </c>
      <c r="Q45">
        <v>171.58816470588235</v>
      </c>
      <c r="R45">
        <v>37.680705662271784</v>
      </c>
    </row>
    <row r="46" spans="1:18" x14ac:dyDescent="0.25">
      <c r="A46" s="1">
        <v>45336</v>
      </c>
      <c r="B46" s="2" t="s">
        <v>16</v>
      </c>
      <c r="C46" s="2" t="s">
        <v>17</v>
      </c>
      <c r="D46" s="2" t="s">
        <v>18</v>
      </c>
      <c r="E46" s="2" t="s">
        <v>39</v>
      </c>
      <c r="F46">
        <v>69767</v>
      </c>
      <c r="G46">
        <v>4894</v>
      </c>
      <c r="H46">
        <v>1047</v>
      </c>
      <c r="I46">
        <v>585</v>
      </c>
      <c r="J46">
        <v>275</v>
      </c>
      <c r="K46">
        <v>47791.5</v>
      </c>
      <c r="L46">
        <v>2145764.4700000002</v>
      </c>
      <c r="M46" s="2" t="s">
        <v>22</v>
      </c>
      <c r="N46">
        <v>7.0147777602591486</v>
      </c>
      <c r="O46">
        <v>9.7653248876174903</v>
      </c>
      <c r="P46">
        <v>21.393543114017163</v>
      </c>
      <c r="Q46">
        <v>173.78727272727272</v>
      </c>
      <c r="R46">
        <v>44.898454118410179</v>
      </c>
    </row>
    <row r="47" spans="1:18" x14ac:dyDescent="0.25">
      <c r="A47" s="1">
        <v>45337</v>
      </c>
      <c r="B47" s="2" t="s">
        <v>16</v>
      </c>
      <c r="C47" s="2" t="s">
        <v>17</v>
      </c>
      <c r="D47" s="2" t="s">
        <v>18</v>
      </c>
      <c r="E47" s="2" t="s">
        <v>38</v>
      </c>
      <c r="F47">
        <v>131440</v>
      </c>
      <c r="G47">
        <v>4550</v>
      </c>
      <c r="H47">
        <v>1063</v>
      </c>
      <c r="I47">
        <v>659</v>
      </c>
      <c r="J47">
        <v>286</v>
      </c>
      <c r="K47">
        <v>119990.61</v>
      </c>
      <c r="L47">
        <v>1990223.55</v>
      </c>
      <c r="M47" s="2" t="s">
        <v>21</v>
      </c>
      <c r="N47">
        <v>3.4616555082166767</v>
      </c>
      <c r="O47">
        <v>26.371562637362636</v>
      </c>
      <c r="P47">
        <v>23.362637362637361</v>
      </c>
      <c r="Q47">
        <v>419.5475874125874</v>
      </c>
      <c r="R47">
        <v>16.586494143166703</v>
      </c>
    </row>
    <row r="48" spans="1:18" x14ac:dyDescent="0.25">
      <c r="A48" s="1">
        <v>45338</v>
      </c>
      <c r="B48" s="2" t="s">
        <v>16</v>
      </c>
      <c r="C48" s="2" t="s">
        <v>17</v>
      </c>
      <c r="D48" s="2" t="s">
        <v>18</v>
      </c>
      <c r="E48" s="2" t="s">
        <v>40</v>
      </c>
      <c r="F48">
        <v>281475</v>
      </c>
      <c r="G48">
        <v>14540</v>
      </c>
      <c r="H48">
        <v>2460</v>
      </c>
      <c r="I48">
        <v>1239</v>
      </c>
      <c r="J48">
        <v>519</v>
      </c>
      <c r="K48">
        <v>112654.64</v>
      </c>
      <c r="L48">
        <v>3920124.36</v>
      </c>
      <c r="M48" s="2" t="s">
        <v>23</v>
      </c>
      <c r="N48">
        <v>5.1656452615685229</v>
      </c>
      <c r="O48">
        <v>7.74791196698762</v>
      </c>
      <c r="P48">
        <v>16.918844566712519</v>
      </c>
      <c r="Q48">
        <v>217.0609633911368</v>
      </c>
      <c r="R48">
        <v>34.797717697202707</v>
      </c>
    </row>
    <row r="49" spans="1:18" x14ac:dyDescent="0.25">
      <c r="A49" s="1">
        <v>45339</v>
      </c>
      <c r="B49" s="2" t="s">
        <v>16</v>
      </c>
      <c r="C49" s="2" t="s">
        <v>17</v>
      </c>
      <c r="D49" s="2" t="s">
        <v>18</v>
      </c>
      <c r="E49" s="2" t="s">
        <v>38</v>
      </c>
      <c r="F49">
        <v>138904</v>
      </c>
      <c r="G49">
        <v>6550</v>
      </c>
      <c r="H49">
        <v>1548</v>
      </c>
      <c r="I49">
        <v>797</v>
      </c>
      <c r="J49">
        <v>435</v>
      </c>
      <c r="K49">
        <v>128170.76</v>
      </c>
      <c r="L49">
        <v>3043168.56</v>
      </c>
      <c r="M49" s="2" t="s">
        <v>23</v>
      </c>
      <c r="N49">
        <v>4.7154869550192942</v>
      </c>
      <c r="O49">
        <v>19.568054961832061</v>
      </c>
      <c r="P49">
        <v>23.63358778625954</v>
      </c>
      <c r="Q49">
        <v>294.64542528735632</v>
      </c>
      <c r="R49">
        <v>23.743079622840657</v>
      </c>
    </row>
    <row r="50" spans="1:18" x14ac:dyDescent="0.25">
      <c r="A50" s="1">
        <v>45340</v>
      </c>
      <c r="B50" s="2" t="s">
        <v>16</v>
      </c>
      <c r="C50" s="2" t="s">
        <v>17</v>
      </c>
      <c r="D50" s="2" t="s">
        <v>18</v>
      </c>
      <c r="E50" s="2" t="s">
        <v>40</v>
      </c>
      <c r="F50">
        <v>294254</v>
      </c>
      <c r="G50">
        <v>13308</v>
      </c>
      <c r="H50">
        <v>3157</v>
      </c>
      <c r="I50">
        <v>1809</v>
      </c>
      <c r="J50">
        <v>752</v>
      </c>
      <c r="K50">
        <v>251733.22</v>
      </c>
      <c r="L50">
        <v>4143706.82</v>
      </c>
      <c r="M50" s="2" t="s">
        <v>22</v>
      </c>
      <c r="N50">
        <v>4.5226233118326347</v>
      </c>
      <c r="O50">
        <v>18.915931770363692</v>
      </c>
      <c r="P50">
        <v>23.722572888488127</v>
      </c>
      <c r="Q50">
        <v>334.75162234042551</v>
      </c>
      <c r="R50">
        <v>16.460707172458207</v>
      </c>
    </row>
    <row r="51" spans="1:18" x14ac:dyDescent="0.25">
      <c r="A51" s="1">
        <v>45341</v>
      </c>
      <c r="B51" s="2" t="s">
        <v>16</v>
      </c>
      <c r="C51" s="2" t="s">
        <v>17</v>
      </c>
      <c r="D51" s="2" t="s">
        <v>18</v>
      </c>
      <c r="E51" s="2" t="s">
        <v>38</v>
      </c>
      <c r="F51">
        <v>176880</v>
      </c>
      <c r="G51">
        <v>12551</v>
      </c>
      <c r="H51">
        <v>2597</v>
      </c>
      <c r="I51">
        <v>1551</v>
      </c>
      <c r="J51">
        <v>905</v>
      </c>
      <c r="K51">
        <v>165229.22</v>
      </c>
      <c r="L51">
        <v>3242544.96</v>
      </c>
      <c r="M51" s="2" t="s">
        <v>23</v>
      </c>
      <c r="N51">
        <v>7.095771144278606</v>
      </c>
      <c r="O51">
        <v>13.164625926221019</v>
      </c>
      <c r="P51">
        <v>20.691578360290016</v>
      </c>
      <c r="Q51">
        <v>182.57372375690608</v>
      </c>
      <c r="R51">
        <v>19.624525008349007</v>
      </c>
    </row>
    <row r="52" spans="1:18" x14ac:dyDescent="0.25">
      <c r="A52" s="1">
        <v>45342</v>
      </c>
      <c r="B52" s="2" t="s">
        <v>16</v>
      </c>
      <c r="C52" s="2" t="s">
        <v>17</v>
      </c>
      <c r="D52" s="2" t="s">
        <v>18</v>
      </c>
      <c r="E52" s="2" t="s">
        <v>40</v>
      </c>
      <c r="F52">
        <v>135158</v>
      </c>
      <c r="G52">
        <v>10392</v>
      </c>
      <c r="H52">
        <v>2062</v>
      </c>
      <c r="I52">
        <v>977</v>
      </c>
      <c r="J52">
        <v>480</v>
      </c>
      <c r="K52">
        <v>101398.32</v>
      </c>
      <c r="L52">
        <v>1965140.43</v>
      </c>
      <c r="M52" s="2" t="s">
        <v>20</v>
      </c>
      <c r="N52">
        <v>7.6887790585832878</v>
      </c>
      <c r="O52">
        <v>9.757344110854504</v>
      </c>
      <c r="P52">
        <v>19.842186297151652</v>
      </c>
      <c r="Q52">
        <v>211.24650000000003</v>
      </c>
      <c r="R52">
        <v>19.380404231549395</v>
      </c>
    </row>
    <row r="53" spans="1:18" x14ac:dyDescent="0.25">
      <c r="A53" s="1">
        <v>45343</v>
      </c>
      <c r="B53" s="2" t="s">
        <v>16</v>
      </c>
      <c r="C53" s="2" t="s">
        <v>17</v>
      </c>
      <c r="D53" s="2" t="s">
        <v>18</v>
      </c>
      <c r="E53" s="2" t="s">
        <v>39</v>
      </c>
      <c r="F53">
        <v>236532</v>
      </c>
      <c r="G53">
        <v>17823</v>
      </c>
      <c r="H53">
        <v>2773</v>
      </c>
      <c r="I53">
        <v>1664</v>
      </c>
      <c r="J53">
        <v>752</v>
      </c>
      <c r="K53">
        <v>209088.36</v>
      </c>
      <c r="L53">
        <v>2447521.69</v>
      </c>
      <c r="M53" s="2" t="s">
        <v>22</v>
      </c>
      <c r="N53">
        <v>7.5351326670387087</v>
      </c>
      <c r="O53">
        <v>11.731378555798686</v>
      </c>
      <c r="P53">
        <v>15.558547943668295</v>
      </c>
      <c r="Q53">
        <v>278.04303191489362</v>
      </c>
      <c r="R53">
        <v>11.705681224913716</v>
      </c>
    </row>
    <row r="54" spans="1:18" x14ac:dyDescent="0.25">
      <c r="A54" s="1">
        <v>45344</v>
      </c>
      <c r="B54" s="2" t="s">
        <v>16</v>
      </c>
      <c r="C54" s="2" t="s">
        <v>17</v>
      </c>
      <c r="D54" s="2" t="s">
        <v>18</v>
      </c>
      <c r="E54" s="2" t="s">
        <v>38</v>
      </c>
      <c r="F54">
        <v>279307</v>
      </c>
      <c r="G54">
        <v>12903</v>
      </c>
      <c r="H54">
        <v>2336</v>
      </c>
      <c r="I54">
        <v>1311</v>
      </c>
      <c r="J54">
        <v>548</v>
      </c>
      <c r="K54">
        <v>265211.11</v>
      </c>
      <c r="L54">
        <v>3931415.84</v>
      </c>
      <c r="M54" s="2" t="s">
        <v>20</v>
      </c>
      <c r="N54">
        <v>4.6196479143021838</v>
      </c>
      <c r="O54">
        <v>20.554220723862667</v>
      </c>
      <c r="P54">
        <v>18.104316825544448</v>
      </c>
      <c r="Q54">
        <v>483.96187956204375</v>
      </c>
      <c r="R54">
        <v>14.823722279206176</v>
      </c>
    </row>
    <row r="55" spans="1:18" x14ac:dyDescent="0.25">
      <c r="A55" s="1">
        <v>45345</v>
      </c>
      <c r="B55" s="2" t="s">
        <v>16</v>
      </c>
      <c r="C55" s="2" t="s">
        <v>17</v>
      </c>
      <c r="D55" s="2" t="s">
        <v>18</v>
      </c>
      <c r="E55" s="2" t="s">
        <v>38</v>
      </c>
      <c r="F55">
        <v>51984</v>
      </c>
      <c r="G55">
        <v>2911</v>
      </c>
      <c r="H55">
        <v>604</v>
      </c>
      <c r="I55">
        <v>374</v>
      </c>
      <c r="J55">
        <v>222</v>
      </c>
      <c r="K55">
        <v>27007.8</v>
      </c>
      <c r="L55">
        <v>1729748.62</v>
      </c>
      <c r="M55" s="2" t="s">
        <v>23</v>
      </c>
      <c r="N55">
        <v>5.5997999384425974</v>
      </c>
      <c r="O55">
        <v>9.277842665750601</v>
      </c>
      <c r="P55">
        <v>20.748883545173481</v>
      </c>
      <c r="Q55">
        <v>121.65675675675675</v>
      </c>
      <c r="R55">
        <v>64.046261450395818</v>
      </c>
    </row>
    <row r="56" spans="1:18" x14ac:dyDescent="0.25">
      <c r="A56" s="1">
        <v>45346</v>
      </c>
      <c r="B56" s="2" t="s">
        <v>16</v>
      </c>
      <c r="C56" s="2" t="s">
        <v>17</v>
      </c>
      <c r="D56" s="2" t="s">
        <v>18</v>
      </c>
      <c r="E56" s="2" t="s">
        <v>40</v>
      </c>
      <c r="F56">
        <v>103947</v>
      </c>
      <c r="G56">
        <v>7149</v>
      </c>
      <c r="H56">
        <v>1414</v>
      </c>
      <c r="I56">
        <v>811</v>
      </c>
      <c r="J56">
        <v>375</v>
      </c>
      <c r="K56">
        <v>55023.96</v>
      </c>
      <c r="L56">
        <v>1623225.67</v>
      </c>
      <c r="M56" s="2" t="s">
        <v>23</v>
      </c>
      <c r="N56">
        <v>6.8775433634448326</v>
      </c>
      <c r="O56">
        <v>7.6967352077213596</v>
      </c>
      <c r="P56">
        <v>19.778990068541056</v>
      </c>
      <c r="Q56">
        <v>146.73056</v>
      </c>
      <c r="R56">
        <v>29.500342578033276</v>
      </c>
    </row>
    <row r="57" spans="1:18" x14ac:dyDescent="0.25">
      <c r="A57" s="1">
        <v>45347</v>
      </c>
      <c r="B57" s="2" t="s">
        <v>16</v>
      </c>
      <c r="C57" s="2" t="s">
        <v>17</v>
      </c>
      <c r="D57" s="2" t="s">
        <v>18</v>
      </c>
      <c r="E57" s="2" t="s">
        <v>39</v>
      </c>
      <c r="F57">
        <v>61783</v>
      </c>
      <c r="G57">
        <v>3786</v>
      </c>
      <c r="H57">
        <v>675</v>
      </c>
      <c r="I57">
        <v>431</v>
      </c>
      <c r="J57">
        <v>230</v>
      </c>
      <c r="K57">
        <v>48713</v>
      </c>
      <c r="L57">
        <v>1095170.8600000001</v>
      </c>
      <c r="M57" s="2" t="s">
        <v>21</v>
      </c>
      <c r="N57">
        <v>6.1278992603143259</v>
      </c>
      <c r="O57">
        <v>12.86661384046487</v>
      </c>
      <c r="P57">
        <v>17.828843106180667</v>
      </c>
      <c r="Q57">
        <v>211.79565217391306</v>
      </c>
      <c r="R57">
        <v>22.482106624515019</v>
      </c>
    </row>
    <row r="58" spans="1:18" x14ac:dyDescent="0.25">
      <c r="A58" s="1">
        <v>45348</v>
      </c>
      <c r="B58" s="2" t="s">
        <v>16</v>
      </c>
      <c r="C58" s="2" t="s">
        <v>17</v>
      </c>
      <c r="D58" s="2" t="s">
        <v>18</v>
      </c>
      <c r="E58" s="2" t="s">
        <v>40</v>
      </c>
      <c r="F58">
        <v>211522</v>
      </c>
      <c r="G58">
        <v>8146</v>
      </c>
      <c r="H58">
        <v>1649</v>
      </c>
      <c r="I58">
        <v>828</v>
      </c>
      <c r="J58">
        <v>347</v>
      </c>
      <c r="K58">
        <v>139232</v>
      </c>
      <c r="L58">
        <v>1343595.62</v>
      </c>
      <c r="M58" s="2" t="s">
        <v>21</v>
      </c>
      <c r="N58">
        <v>3.851136052041868</v>
      </c>
      <c r="O58">
        <v>17.092069727473607</v>
      </c>
      <c r="P58">
        <v>20.243064080530321</v>
      </c>
      <c r="Q58">
        <v>401.24495677233432</v>
      </c>
      <c r="R58">
        <v>9.6500489829924163</v>
      </c>
    </row>
    <row r="59" spans="1:18" x14ac:dyDescent="0.25">
      <c r="A59" s="1">
        <v>45349</v>
      </c>
      <c r="B59" s="2" t="s">
        <v>16</v>
      </c>
      <c r="C59" s="2" t="s">
        <v>17</v>
      </c>
      <c r="D59" s="2" t="s">
        <v>18</v>
      </c>
      <c r="E59" s="2" t="s">
        <v>39</v>
      </c>
      <c r="F59">
        <v>55880</v>
      </c>
      <c r="G59">
        <v>1910</v>
      </c>
      <c r="H59">
        <v>340</v>
      </c>
      <c r="I59">
        <v>220</v>
      </c>
      <c r="J59">
        <v>103</v>
      </c>
      <c r="K59">
        <v>40730.480000000003</v>
      </c>
      <c r="L59">
        <v>486883.69</v>
      </c>
      <c r="M59" s="2" t="s">
        <v>23</v>
      </c>
      <c r="N59">
        <v>3.4180386542591266</v>
      </c>
      <c r="O59">
        <v>21.324858638743457</v>
      </c>
      <c r="P59">
        <v>17.801047120418847</v>
      </c>
      <c r="Q59">
        <v>395.44155339805826</v>
      </c>
      <c r="R59">
        <v>11.953792098693656</v>
      </c>
    </row>
    <row r="60" spans="1:18" x14ac:dyDescent="0.25">
      <c r="A60" s="1">
        <v>45350</v>
      </c>
      <c r="B60" s="2" t="s">
        <v>16</v>
      </c>
      <c r="C60" s="2" t="s">
        <v>17</v>
      </c>
      <c r="D60" s="2" t="s">
        <v>18</v>
      </c>
      <c r="E60" s="2" t="s">
        <v>38</v>
      </c>
      <c r="F60">
        <v>167535</v>
      </c>
      <c r="G60">
        <v>11504</v>
      </c>
      <c r="H60">
        <v>2177</v>
      </c>
      <c r="I60">
        <v>1304</v>
      </c>
      <c r="J60">
        <v>556</v>
      </c>
      <c r="K60">
        <v>110296.86</v>
      </c>
      <c r="L60">
        <v>4174012.5</v>
      </c>
      <c r="M60" s="2" t="s">
        <v>19</v>
      </c>
      <c r="N60">
        <v>6.8666248843525235</v>
      </c>
      <c r="O60">
        <v>9.58769645340751</v>
      </c>
      <c r="P60">
        <v>18.923852573018081</v>
      </c>
      <c r="Q60">
        <v>198.37564748201439</v>
      </c>
      <c r="R60">
        <v>37.843439060731193</v>
      </c>
    </row>
    <row r="61" spans="1:18" x14ac:dyDescent="0.25">
      <c r="A61" s="1">
        <v>45351</v>
      </c>
      <c r="B61" s="2" t="s">
        <v>16</v>
      </c>
      <c r="C61" s="2" t="s">
        <v>17</v>
      </c>
      <c r="D61" s="2" t="s">
        <v>18</v>
      </c>
      <c r="E61" s="2" t="s">
        <v>40</v>
      </c>
      <c r="F61">
        <v>206944</v>
      </c>
      <c r="G61">
        <v>15993</v>
      </c>
      <c r="H61">
        <v>2610</v>
      </c>
      <c r="I61">
        <v>1657</v>
      </c>
      <c r="J61">
        <v>747</v>
      </c>
      <c r="K61">
        <v>170089.29</v>
      </c>
      <c r="L61">
        <v>2704688.17</v>
      </c>
      <c r="M61" s="2" t="s">
        <v>19</v>
      </c>
      <c r="N61">
        <v>7.7281776712540591</v>
      </c>
      <c r="O61">
        <v>10.635233539673608</v>
      </c>
      <c r="P61">
        <v>16.319639842431062</v>
      </c>
      <c r="Q61">
        <v>227.69650602409641</v>
      </c>
      <c r="R61">
        <v>15.901578341587527</v>
      </c>
    </row>
    <row r="62" spans="1:18" x14ac:dyDescent="0.25">
      <c r="A62" s="1">
        <v>45352</v>
      </c>
      <c r="B62" s="2" t="s">
        <v>24</v>
      </c>
      <c r="C62" s="2" t="s">
        <v>25</v>
      </c>
      <c r="D62" s="2" t="s">
        <v>26</v>
      </c>
      <c r="E62" s="2" t="s">
        <v>38</v>
      </c>
      <c r="F62">
        <v>86043</v>
      </c>
      <c r="G62">
        <v>5121</v>
      </c>
      <c r="H62">
        <v>1032</v>
      </c>
      <c r="I62">
        <v>663</v>
      </c>
      <c r="J62">
        <v>383</v>
      </c>
      <c r="K62">
        <v>84842.240000000005</v>
      </c>
      <c r="L62">
        <v>2067523.93</v>
      </c>
      <c r="M62" s="2" t="s">
        <v>22</v>
      </c>
      <c r="N62">
        <v>5.9516753251281331</v>
      </c>
      <c r="O62">
        <v>16.567514157391134</v>
      </c>
      <c r="P62">
        <v>20.152314001171646</v>
      </c>
      <c r="Q62">
        <v>221.5202088772846</v>
      </c>
      <c r="R62">
        <v>24.36903987919225</v>
      </c>
    </row>
    <row r="63" spans="1:18" x14ac:dyDescent="0.25">
      <c r="A63" s="1">
        <v>45352</v>
      </c>
      <c r="B63" s="2" t="s">
        <v>16</v>
      </c>
      <c r="C63" s="2" t="s">
        <v>17</v>
      </c>
      <c r="D63" s="2" t="s">
        <v>18</v>
      </c>
      <c r="E63" s="2" t="s">
        <v>39</v>
      </c>
      <c r="F63">
        <v>238624</v>
      </c>
      <c r="G63">
        <v>16826</v>
      </c>
      <c r="H63">
        <v>3034</v>
      </c>
      <c r="I63">
        <v>1553</v>
      </c>
      <c r="J63">
        <v>882</v>
      </c>
      <c r="K63">
        <v>121439.76</v>
      </c>
      <c r="L63">
        <v>5523179.9500000002</v>
      </c>
      <c r="M63" s="2" t="s">
        <v>21</v>
      </c>
      <c r="N63">
        <v>7.0512605605471377</v>
      </c>
      <c r="O63">
        <v>7.2173873766789489</v>
      </c>
      <c r="P63">
        <v>18.031617734458578</v>
      </c>
      <c r="Q63">
        <v>137.68680272108844</v>
      </c>
      <c r="R63">
        <v>45.480820696615346</v>
      </c>
    </row>
    <row r="64" spans="1:18" x14ac:dyDescent="0.25">
      <c r="A64" s="1">
        <v>45353</v>
      </c>
      <c r="B64" s="2" t="s">
        <v>24</v>
      </c>
      <c r="C64" s="2" t="s">
        <v>25</v>
      </c>
      <c r="D64" s="2" t="s">
        <v>26</v>
      </c>
      <c r="E64" s="2" t="s">
        <v>38</v>
      </c>
      <c r="F64">
        <v>106383</v>
      </c>
      <c r="G64">
        <v>8132</v>
      </c>
      <c r="H64">
        <v>1989</v>
      </c>
      <c r="I64">
        <v>1180</v>
      </c>
      <c r="J64">
        <v>597</v>
      </c>
      <c r="K64">
        <v>68120.59</v>
      </c>
      <c r="L64">
        <v>4167141.49</v>
      </c>
      <c r="M64" s="2" t="s">
        <v>23</v>
      </c>
      <c r="N64">
        <v>7.6440784711843053</v>
      </c>
      <c r="O64">
        <v>8.3768556320708303</v>
      </c>
      <c r="P64">
        <v>24.458927693064435</v>
      </c>
      <c r="Q64">
        <v>114.10484087102176</v>
      </c>
      <c r="R64">
        <v>61.173009364716314</v>
      </c>
    </row>
    <row r="65" spans="1:18" x14ac:dyDescent="0.25">
      <c r="A65" s="1">
        <v>45353</v>
      </c>
      <c r="B65" s="2" t="s">
        <v>16</v>
      </c>
      <c r="C65" s="2" t="s">
        <v>17</v>
      </c>
      <c r="D65" s="2" t="s">
        <v>18</v>
      </c>
      <c r="E65" s="2" t="s">
        <v>40</v>
      </c>
      <c r="F65">
        <v>137353</v>
      </c>
      <c r="G65">
        <v>10177</v>
      </c>
      <c r="H65">
        <v>1561</v>
      </c>
      <c r="I65">
        <v>926</v>
      </c>
      <c r="J65">
        <v>440</v>
      </c>
      <c r="K65">
        <v>62507.3</v>
      </c>
      <c r="L65">
        <v>2300981.91</v>
      </c>
      <c r="M65" s="2" t="s">
        <v>22</v>
      </c>
      <c r="N65">
        <v>7.4093758418090614</v>
      </c>
      <c r="O65">
        <v>6.1420163112901642</v>
      </c>
      <c r="P65">
        <v>15.338508401297043</v>
      </c>
      <c r="Q65">
        <v>142.06204545454545</v>
      </c>
      <c r="R65">
        <v>36.811410987196695</v>
      </c>
    </row>
    <row r="66" spans="1:18" x14ac:dyDescent="0.25">
      <c r="A66" s="1">
        <v>45354</v>
      </c>
      <c r="B66" s="2" t="s">
        <v>24</v>
      </c>
      <c r="C66" s="2" t="s">
        <v>25</v>
      </c>
      <c r="D66" s="2" t="s">
        <v>26</v>
      </c>
      <c r="E66" s="2" t="s">
        <v>38</v>
      </c>
      <c r="F66">
        <v>190183</v>
      </c>
      <c r="G66">
        <v>9911</v>
      </c>
      <c r="H66">
        <v>2343</v>
      </c>
      <c r="I66">
        <v>1331</v>
      </c>
      <c r="J66">
        <v>712</v>
      </c>
      <c r="K66">
        <v>170515</v>
      </c>
      <c r="L66">
        <v>2633312.2000000002</v>
      </c>
      <c r="M66" s="2" t="s">
        <v>20</v>
      </c>
      <c r="N66">
        <v>5.2112964881193378</v>
      </c>
      <c r="O66">
        <v>17.204621128039552</v>
      </c>
      <c r="P66">
        <v>23.640399556048834</v>
      </c>
      <c r="Q66">
        <v>239.48735955056179</v>
      </c>
      <c r="R66">
        <v>15.443287687300238</v>
      </c>
    </row>
    <row r="67" spans="1:18" x14ac:dyDescent="0.25">
      <c r="A67" s="1">
        <v>45354</v>
      </c>
      <c r="B67" s="2" t="s">
        <v>16</v>
      </c>
      <c r="C67" s="2" t="s">
        <v>17</v>
      </c>
      <c r="D67" s="2" t="s">
        <v>18</v>
      </c>
      <c r="E67" s="2" t="s">
        <v>38</v>
      </c>
      <c r="F67">
        <v>248339</v>
      </c>
      <c r="G67">
        <v>16962</v>
      </c>
      <c r="H67">
        <v>3496</v>
      </c>
      <c r="I67">
        <v>1806</v>
      </c>
      <c r="J67">
        <v>789</v>
      </c>
      <c r="K67">
        <v>175686.39999999999</v>
      </c>
      <c r="L67">
        <v>2908345.21</v>
      </c>
      <c r="M67" s="2" t="s">
        <v>21</v>
      </c>
      <c r="N67">
        <v>6.8301797140199492</v>
      </c>
      <c r="O67">
        <v>10.357646503950006</v>
      </c>
      <c r="P67">
        <v>20.610777031010493</v>
      </c>
      <c r="Q67">
        <v>222.66970849176172</v>
      </c>
      <c r="R67">
        <v>16.554185241430186</v>
      </c>
    </row>
    <row r="68" spans="1:18" x14ac:dyDescent="0.25">
      <c r="A68" s="1">
        <v>45355</v>
      </c>
      <c r="B68" s="2" t="s">
        <v>24</v>
      </c>
      <c r="C68" s="2" t="s">
        <v>25</v>
      </c>
      <c r="D68" s="2" t="s">
        <v>26</v>
      </c>
      <c r="E68" s="2" t="s">
        <v>38</v>
      </c>
      <c r="F68">
        <v>151825</v>
      </c>
      <c r="G68">
        <v>7293</v>
      </c>
      <c r="H68">
        <v>1728</v>
      </c>
      <c r="I68">
        <v>1114</v>
      </c>
      <c r="J68">
        <v>497</v>
      </c>
      <c r="K68">
        <v>76965.64</v>
      </c>
      <c r="L68">
        <v>3527269.49</v>
      </c>
      <c r="M68" s="2" t="s">
        <v>19</v>
      </c>
      <c r="N68">
        <v>4.8035567264943193</v>
      </c>
      <c r="O68">
        <v>10.553358014534485</v>
      </c>
      <c r="P68">
        <v>23.69395310571781</v>
      </c>
      <c r="Q68">
        <v>154.8604426559356</v>
      </c>
      <c r="R68">
        <v>45.829145187384917</v>
      </c>
    </row>
    <row r="69" spans="1:18" x14ac:dyDescent="0.25">
      <c r="A69" s="1">
        <v>45355</v>
      </c>
      <c r="B69" s="2" t="s">
        <v>16</v>
      </c>
      <c r="C69" s="2" t="s">
        <v>17</v>
      </c>
      <c r="D69" s="2" t="s">
        <v>18</v>
      </c>
      <c r="E69" s="2" t="s">
        <v>38</v>
      </c>
      <c r="F69">
        <v>56983</v>
      </c>
      <c r="G69">
        <v>2037</v>
      </c>
      <c r="H69">
        <v>418</v>
      </c>
      <c r="I69">
        <v>208</v>
      </c>
      <c r="J69">
        <v>123</v>
      </c>
      <c r="K69">
        <v>53251.91</v>
      </c>
      <c r="L69">
        <v>737803.26</v>
      </c>
      <c r="M69" s="2" t="s">
        <v>22</v>
      </c>
      <c r="N69">
        <v>3.574750364143692</v>
      </c>
      <c r="O69">
        <v>26.14232204221895</v>
      </c>
      <c r="P69">
        <v>20.520373097692683</v>
      </c>
      <c r="Q69">
        <v>432.94235772357729</v>
      </c>
      <c r="R69">
        <v>13.854963324320197</v>
      </c>
    </row>
    <row r="70" spans="1:18" x14ac:dyDescent="0.25">
      <c r="A70" s="1">
        <v>45356</v>
      </c>
      <c r="B70" s="2" t="s">
        <v>24</v>
      </c>
      <c r="C70" s="2" t="s">
        <v>25</v>
      </c>
      <c r="D70" s="2" t="s">
        <v>26</v>
      </c>
      <c r="E70" s="2" t="s">
        <v>38</v>
      </c>
      <c r="F70">
        <v>70110</v>
      </c>
      <c r="G70">
        <v>3013</v>
      </c>
      <c r="H70">
        <v>750</v>
      </c>
      <c r="I70">
        <v>468</v>
      </c>
      <c r="J70">
        <v>238</v>
      </c>
      <c r="K70">
        <v>52948</v>
      </c>
      <c r="L70">
        <v>1892177.59</v>
      </c>
      <c r="M70" s="2" t="s">
        <v>23</v>
      </c>
      <c r="N70">
        <v>4.2975324490087008</v>
      </c>
      <c r="O70">
        <v>17.573182874211749</v>
      </c>
      <c r="P70">
        <v>24.892134085628943</v>
      </c>
      <c r="Q70">
        <v>222.47058823529412</v>
      </c>
      <c r="R70">
        <v>35.736526214399035</v>
      </c>
    </row>
    <row r="71" spans="1:18" x14ac:dyDescent="0.25">
      <c r="A71" s="1">
        <v>45356</v>
      </c>
      <c r="B71" s="2" t="s">
        <v>16</v>
      </c>
      <c r="C71" s="2" t="s">
        <v>17</v>
      </c>
      <c r="D71" s="2" t="s">
        <v>18</v>
      </c>
      <c r="E71" s="2" t="s">
        <v>39</v>
      </c>
      <c r="F71">
        <v>161034</v>
      </c>
      <c r="G71">
        <v>5095</v>
      </c>
      <c r="H71">
        <v>881</v>
      </c>
      <c r="I71">
        <v>462</v>
      </c>
      <c r="J71">
        <v>224</v>
      </c>
      <c r="K71">
        <v>84019.32</v>
      </c>
      <c r="L71">
        <v>923164.11</v>
      </c>
      <c r="M71" s="2" t="s">
        <v>23</v>
      </c>
      <c r="N71">
        <v>3.1639281145596581</v>
      </c>
      <c r="O71">
        <v>16.490543670264966</v>
      </c>
      <c r="P71">
        <v>17.291462217860648</v>
      </c>
      <c r="Q71">
        <v>375.08625000000001</v>
      </c>
      <c r="R71">
        <v>10.98752179855776</v>
      </c>
    </row>
    <row r="72" spans="1:18" x14ac:dyDescent="0.25">
      <c r="A72" s="1">
        <v>45357</v>
      </c>
      <c r="B72" s="2" t="s">
        <v>24</v>
      </c>
      <c r="C72" s="2" t="s">
        <v>25</v>
      </c>
      <c r="D72" s="2" t="s">
        <v>26</v>
      </c>
      <c r="E72" s="2" t="s">
        <v>38</v>
      </c>
      <c r="F72">
        <v>127872</v>
      </c>
      <c r="G72">
        <v>7698</v>
      </c>
      <c r="H72">
        <v>1526</v>
      </c>
      <c r="I72">
        <v>763</v>
      </c>
      <c r="J72">
        <v>381</v>
      </c>
      <c r="K72">
        <v>116041.16</v>
      </c>
      <c r="L72">
        <v>2303108.0099999998</v>
      </c>
      <c r="M72" s="2" t="s">
        <v>22</v>
      </c>
      <c r="N72">
        <v>6.0200825825825826</v>
      </c>
      <c r="O72">
        <v>15.074195895037672</v>
      </c>
      <c r="P72">
        <v>19.823330735255912</v>
      </c>
      <c r="Q72">
        <v>304.56997375328086</v>
      </c>
      <c r="R72">
        <v>19.847337013866458</v>
      </c>
    </row>
    <row r="73" spans="1:18" x14ac:dyDescent="0.25">
      <c r="A73" s="1">
        <v>45357</v>
      </c>
      <c r="B73" s="2" t="s">
        <v>16</v>
      </c>
      <c r="C73" s="2" t="s">
        <v>17</v>
      </c>
      <c r="D73" s="2" t="s">
        <v>18</v>
      </c>
      <c r="E73" s="2" t="s">
        <v>38</v>
      </c>
      <c r="F73">
        <v>207444</v>
      </c>
      <c r="G73">
        <v>12055</v>
      </c>
      <c r="H73">
        <v>2103</v>
      </c>
      <c r="I73">
        <v>1256</v>
      </c>
      <c r="J73">
        <v>542</v>
      </c>
      <c r="K73">
        <v>112399.62</v>
      </c>
      <c r="L73">
        <v>2091662.03</v>
      </c>
      <c r="M73" s="2" t="s">
        <v>20</v>
      </c>
      <c r="N73">
        <v>5.8112068799290411</v>
      </c>
      <c r="O73">
        <v>9.3239004562422227</v>
      </c>
      <c r="P73">
        <v>17.445043550394026</v>
      </c>
      <c r="Q73">
        <v>207.37937269372694</v>
      </c>
      <c r="R73">
        <v>18.609155707110041</v>
      </c>
    </row>
    <row r="74" spans="1:18" x14ac:dyDescent="0.25">
      <c r="A74" s="1">
        <v>45358</v>
      </c>
      <c r="B74" s="2" t="s">
        <v>24</v>
      </c>
      <c r="C74" s="2" t="s">
        <v>25</v>
      </c>
      <c r="D74" s="2" t="s">
        <v>26</v>
      </c>
      <c r="E74" s="2" t="s">
        <v>38</v>
      </c>
      <c r="F74">
        <v>125458</v>
      </c>
      <c r="G74">
        <v>8435</v>
      </c>
      <c r="H74">
        <v>1509</v>
      </c>
      <c r="I74">
        <v>693</v>
      </c>
      <c r="J74">
        <v>366</v>
      </c>
      <c r="K74">
        <v>66260.179999999993</v>
      </c>
      <c r="L74">
        <v>2398363.29</v>
      </c>
      <c r="M74" s="2" t="s">
        <v>19</v>
      </c>
      <c r="N74">
        <v>6.7233655884837953</v>
      </c>
      <c r="O74">
        <v>7.8553858921161819</v>
      </c>
      <c r="P74">
        <v>17.889745109662123</v>
      </c>
      <c r="Q74">
        <v>181.03874316939888</v>
      </c>
      <c r="R74">
        <v>36.196148123956199</v>
      </c>
    </row>
    <row r="75" spans="1:18" x14ac:dyDescent="0.25">
      <c r="A75" s="1">
        <v>45358</v>
      </c>
      <c r="B75" s="2" t="s">
        <v>16</v>
      </c>
      <c r="C75" s="2" t="s">
        <v>17</v>
      </c>
      <c r="D75" s="2" t="s">
        <v>18</v>
      </c>
      <c r="E75" s="2" t="s">
        <v>40</v>
      </c>
      <c r="F75">
        <v>125186</v>
      </c>
      <c r="G75">
        <v>5438</v>
      </c>
      <c r="H75">
        <v>1013</v>
      </c>
      <c r="I75">
        <v>516</v>
      </c>
      <c r="J75">
        <v>288</v>
      </c>
      <c r="K75">
        <v>70257.17</v>
      </c>
      <c r="L75">
        <v>1655474.48</v>
      </c>
      <c r="M75" s="2" t="s">
        <v>21</v>
      </c>
      <c r="N75">
        <v>4.3439362229003242</v>
      </c>
      <c r="O75">
        <v>12.919670834865759</v>
      </c>
      <c r="P75">
        <v>18.628172122103713</v>
      </c>
      <c r="Q75">
        <v>243.94850694444443</v>
      </c>
      <c r="R75">
        <v>23.563068082588583</v>
      </c>
    </row>
    <row r="76" spans="1:18" x14ac:dyDescent="0.25">
      <c r="A76" s="1">
        <v>45359</v>
      </c>
      <c r="B76" s="2" t="s">
        <v>24</v>
      </c>
      <c r="C76" s="2" t="s">
        <v>25</v>
      </c>
      <c r="D76" s="2" t="s">
        <v>26</v>
      </c>
      <c r="E76" s="2" t="s">
        <v>38</v>
      </c>
      <c r="F76">
        <v>52749</v>
      </c>
      <c r="G76">
        <v>3113</v>
      </c>
      <c r="H76">
        <v>594</v>
      </c>
      <c r="I76">
        <v>267</v>
      </c>
      <c r="J76">
        <v>132</v>
      </c>
      <c r="K76">
        <v>47097.46</v>
      </c>
      <c r="L76">
        <v>644765.61</v>
      </c>
      <c r="M76" s="2" t="s">
        <v>19</v>
      </c>
      <c r="N76">
        <v>5.9015336783635703</v>
      </c>
      <c r="O76">
        <v>15.129283649212978</v>
      </c>
      <c r="P76">
        <v>19.081272084805654</v>
      </c>
      <c r="Q76">
        <v>356.79893939393941</v>
      </c>
      <c r="R76">
        <v>13.690029356147869</v>
      </c>
    </row>
    <row r="77" spans="1:18" x14ac:dyDescent="0.25">
      <c r="A77" s="1">
        <v>45359</v>
      </c>
      <c r="B77" s="2" t="s">
        <v>16</v>
      </c>
      <c r="C77" s="2" t="s">
        <v>17</v>
      </c>
      <c r="D77" s="2" t="s">
        <v>18</v>
      </c>
      <c r="E77" s="2" t="s">
        <v>38</v>
      </c>
      <c r="F77">
        <v>153379</v>
      </c>
      <c r="G77">
        <v>7139</v>
      </c>
      <c r="H77">
        <v>1663</v>
      </c>
      <c r="I77">
        <v>957</v>
      </c>
      <c r="J77">
        <v>429</v>
      </c>
      <c r="K77">
        <v>102014.36</v>
      </c>
      <c r="L77">
        <v>1463624.77</v>
      </c>
      <c r="M77" s="2" t="s">
        <v>23</v>
      </c>
      <c r="N77">
        <v>4.654483338657835</v>
      </c>
      <c r="O77">
        <v>14.289726852500351</v>
      </c>
      <c r="P77">
        <v>23.294579072699257</v>
      </c>
      <c r="Q77">
        <v>237.79571095571094</v>
      </c>
      <c r="R77">
        <v>14.347242584279311</v>
      </c>
    </row>
    <row r="78" spans="1:18" x14ac:dyDescent="0.25">
      <c r="A78" s="1">
        <v>45360</v>
      </c>
      <c r="B78" s="2" t="s">
        <v>24</v>
      </c>
      <c r="C78" s="2" t="s">
        <v>25</v>
      </c>
      <c r="D78" s="2" t="s">
        <v>26</v>
      </c>
      <c r="E78" s="2" t="s">
        <v>38</v>
      </c>
      <c r="F78">
        <v>55614</v>
      </c>
      <c r="G78">
        <v>3540</v>
      </c>
      <c r="H78">
        <v>572</v>
      </c>
      <c r="I78">
        <v>343</v>
      </c>
      <c r="J78">
        <v>154</v>
      </c>
      <c r="K78">
        <v>36078.71</v>
      </c>
      <c r="L78">
        <v>646246.86</v>
      </c>
      <c r="M78" s="2" t="s">
        <v>20</v>
      </c>
      <c r="N78">
        <v>6.3653037005070665</v>
      </c>
      <c r="O78">
        <v>10.191725988700565</v>
      </c>
      <c r="P78">
        <v>16.158192090395477</v>
      </c>
      <c r="Q78">
        <v>234.27733766233766</v>
      </c>
      <c r="R78">
        <v>17.912138765493555</v>
      </c>
    </row>
    <row r="79" spans="1:18" x14ac:dyDescent="0.25">
      <c r="A79" s="1">
        <v>45360</v>
      </c>
      <c r="B79" s="2" t="s">
        <v>16</v>
      </c>
      <c r="C79" s="2" t="s">
        <v>17</v>
      </c>
      <c r="D79" s="2" t="s">
        <v>18</v>
      </c>
      <c r="E79" s="2" t="s">
        <v>38</v>
      </c>
      <c r="F79">
        <v>123685</v>
      </c>
      <c r="G79">
        <v>8520</v>
      </c>
      <c r="H79">
        <v>2108</v>
      </c>
      <c r="I79">
        <v>1010</v>
      </c>
      <c r="J79">
        <v>406</v>
      </c>
      <c r="K79">
        <v>122048.41</v>
      </c>
      <c r="L79">
        <v>1454477.2</v>
      </c>
      <c r="M79" s="2" t="s">
        <v>23</v>
      </c>
      <c r="N79">
        <v>6.8884666693616854</v>
      </c>
      <c r="O79">
        <v>14.32493075117371</v>
      </c>
      <c r="P79">
        <v>24.741784037558688</v>
      </c>
      <c r="Q79">
        <v>300.61184729064041</v>
      </c>
      <c r="R79">
        <v>11.917215472122905</v>
      </c>
    </row>
    <row r="80" spans="1:18" x14ac:dyDescent="0.25">
      <c r="A80" s="1">
        <v>45361</v>
      </c>
      <c r="B80" s="2" t="s">
        <v>24</v>
      </c>
      <c r="C80" s="2" t="s">
        <v>25</v>
      </c>
      <c r="D80" s="2" t="s">
        <v>26</v>
      </c>
      <c r="E80" s="2" t="s">
        <v>38</v>
      </c>
      <c r="F80">
        <v>160586</v>
      </c>
      <c r="G80">
        <v>9019</v>
      </c>
      <c r="H80">
        <v>1457</v>
      </c>
      <c r="I80">
        <v>790</v>
      </c>
      <c r="J80">
        <v>427</v>
      </c>
      <c r="K80">
        <v>118320.36</v>
      </c>
      <c r="L80">
        <v>2536804.91</v>
      </c>
      <c r="M80" s="2" t="s">
        <v>20</v>
      </c>
      <c r="N80">
        <v>5.6163052819050225</v>
      </c>
      <c r="O80">
        <v>13.119010976826699</v>
      </c>
      <c r="P80">
        <v>16.154784344162323</v>
      </c>
      <c r="Q80">
        <v>277.09686182669788</v>
      </c>
      <c r="R80">
        <v>21.440138535751583</v>
      </c>
    </row>
    <row r="81" spans="1:18" x14ac:dyDescent="0.25">
      <c r="A81" s="1">
        <v>45361</v>
      </c>
      <c r="B81" s="2" t="s">
        <v>16</v>
      </c>
      <c r="C81" s="2" t="s">
        <v>17</v>
      </c>
      <c r="D81" s="2" t="s">
        <v>18</v>
      </c>
      <c r="E81" s="2" t="s">
        <v>40</v>
      </c>
      <c r="F81">
        <v>226639</v>
      </c>
      <c r="G81">
        <v>12635</v>
      </c>
      <c r="H81">
        <v>2302</v>
      </c>
      <c r="I81">
        <v>1218</v>
      </c>
      <c r="J81">
        <v>650</v>
      </c>
      <c r="K81">
        <v>199476.34</v>
      </c>
      <c r="L81">
        <v>3964941.02</v>
      </c>
      <c r="M81" s="2" t="s">
        <v>22</v>
      </c>
      <c r="N81">
        <v>5.574945177131915</v>
      </c>
      <c r="O81">
        <v>15.787601108033241</v>
      </c>
      <c r="P81">
        <v>18.219232291254453</v>
      </c>
      <c r="Q81">
        <v>306.88667692307689</v>
      </c>
      <c r="R81">
        <v>19.87674839031035</v>
      </c>
    </row>
    <row r="82" spans="1:18" x14ac:dyDescent="0.25">
      <c r="A82" s="1">
        <v>45362</v>
      </c>
      <c r="B82" s="2" t="s">
        <v>24</v>
      </c>
      <c r="C82" s="2" t="s">
        <v>25</v>
      </c>
      <c r="D82" s="2" t="s">
        <v>26</v>
      </c>
      <c r="E82" s="2" t="s">
        <v>38</v>
      </c>
      <c r="F82">
        <v>73407</v>
      </c>
      <c r="G82">
        <v>5606</v>
      </c>
      <c r="H82">
        <v>883</v>
      </c>
      <c r="I82">
        <v>498</v>
      </c>
      <c r="J82">
        <v>256</v>
      </c>
      <c r="K82">
        <v>70482.990000000005</v>
      </c>
      <c r="L82">
        <v>1018845.71</v>
      </c>
      <c r="M82" s="2" t="s">
        <v>19</v>
      </c>
      <c r="N82">
        <v>7.6368738676148045</v>
      </c>
      <c r="O82">
        <v>12.572777381377097</v>
      </c>
      <c r="P82">
        <v>15.750981091687477</v>
      </c>
      <c r="Q82">
        <v>275.32417968750002</v>
      </c>
      <c r="R82">
        <v>14.45519990000424</v>
      </c>
    </row>
    <row r="83" spans="1:18" x14ac:dyDescent="0.25">
      <c r="A83" s="1">
        <v>45362</v>
      </c>
      <c r="B83" s="2" t="s">
        <v>16</v>
      </c>
      <c r="C83" s="2" t="s">
        <v>17</v>
      </c>
      <c r="D83" s="2" t="s">
        <v>18</v>
      </c>
      <c r="E83" s="2" t="s">
        <v>39</v>
      </c>
      <c r="F83">
        <v>213309</v>
      </c>
      <c r="G83">
        <v>8042</v>
      </c>
      <c r="H83">
        <v>1913</v>
      </c>
      <c r="I83">
        <v>1209</v>
      </c>
      <c r="J83">
        <v>533</v>
      </c>
      <c r="K83">
        <v>164269.5</v>
      </c>
      <c r="L83">
        <v>4063881.15</v>
      </c>
      <c r="M83" s="2" t="s">
        <v>20</v>
      </c>
      <c r="N83">
        <v>3.7701175290306552</v>
      </c>
      <c r="O83">
        <v>20.426448644615768</v>
      </c>
      <c r="P83">
        <v>23.787615021139018</v>
      </c>
      <c r="Q83">
        <v>308.19793621013133</v>
      </c>
      <c r="R83">
        <v>24.739109512112716</v>
      </c>
    </row>
    <row r="84" spans="1:18" x14ac:dyDescent="0.25">
      <c r="A84" s="1">
        <v>45363</v>
      </c>
      <c r="B84" s="2" t="s">
        <v>24</v>
      </c>
      <c r="C84" s="2" t="s">
        <v>25</v>
      </c>
      <c r="D84" s="2" t="s">
        <v>26</v>
      </c>
      <c r="E84" s="2" t="s">
        <v>38</v>
      </c>
      <c r="F84">
        <v>216597</v>
      </c>
      <c r="G84">
        <v>15507</v>
      </c>
      <c r="H84">
        <v>2335</v>
      </c>
      <c r="I84">
        <v>1445</v>
      </c>
      <c r="J84">
        <v>726</v>
      </c>
      <c r="K84">
        <v>192461.62</v>
      </c>
      <c r="L84">
        <v>2305973.39</v>
      </c>
      <c r="M84" s="2" t="s">
        <v>20</v>
      </c>
      <c r="N84">
        <v>7.1593789387664657</v>
      </c>
      <c r="O84">
        <v>12.411273618365898</v>
      </c>
      <c r="P84">
        <v>15.057715870252144</v>
      </c>
      <c r="Q84">
        <v>265.09865013774106</v>
      </c>
      <c r="R84">
        <v>11.981471370759532</v>
      </c>
    </row>
    <row r="85" spans="1:18" x14ac:dyDescent="0.25">
      <c r="A85" s="1">
        <v>45363</v>
      </c>
      <c r="B85" s="2" t="s">
        <v>16</v>
      </c>
      <c r="C85" s="2" t="s">
        <v>17</v>
      </c>
      <c r="D85" s="2" t="s">
        <v>18</v>
      </c>
      <c r="E85" s="2" t="s">
        <v>40</v>
      </c>
      <c r="F85">
        <v>226506</v>
      </c>
      <c r="G85">
        <v>7970</v>
      </c>
      <c r="H85">
        <v>1292</v>
      </c>
      <c r="I85">
        <v>750</v>
      </c>
      <c r="J85">
        <v>420</v>
      </c>
      <c r="K85">
        <v>175994.8</v>
      </c>
      <c r="L85">
        <v>2066586.58</v>
      </c>
      <c r="M85" s="2" t="s">
        <v>22</v>
      </c>
      <c r="N85">
        <v>3.5186705870926156</v>
      </c>
      <c r="O85">
        <v>22.082158092848179</v>
      </c>
      <c r="P85">
        <v>16.210790464240905</v>
      </c>
      <c r="Q85">
        <v>419.03523809523807</v>
      </c>
      <c r="R85">
        <v>11.742316136613129</v>
      </c>
    </row>
    <row r="86" spans="1:18" x14ac:dyDescent="0.25">
      <c r="A86" s="1">
        <v>45364</v>
      </c>
      <c r="B86" s="2" t="s">
        <v>24</v>
      </c>
      <c r="C86" s="2" t="s">
        <v>25</v>
      </c>
      <c r="D86" s="2" t="s">
        <v>26</v>
      </c>
      <c r="E86" s="2" t="s">
        <v>38</v>
      </c>
      <c r="F86">
        <v>175194</v>
      </c>
      <c r="G86">
        <v>5344</v>
      </c>
      <c r="H86">
        <v>957</v>
      </c>
      <c r="I86">
        <v>551</v>
      </c>
      <c r="J86">
        <v>261</v>
      </c>
      <c r="K86">
        <v>169204.3</v>
      </c>
      <c r="L86">
        <v>976767.04</v>
      </c>
      <c r="M86" s="2" t="s">
        <v>19</v>
      </c>
      <c r="N86">
        <v>3.0503327739534458</v>
      </c>
      <c r="O86">
        <v>31.662481287425152</v>
      </c>
      <c r="P86">
        <v>17.907934131736528</v>
      </c>
      <c r="Q86">
        <v>648.29233716475096</v>
      </c>
      <c r="R86">
        <v>5.7727081403959595</v>
      </c>
    </row>
    <row r="87" spans="1:18" x14ac:dyDescent="0.25">
      <c r="A87" s="1">
        <v>45364</v>
      </c>
      <c r="B87" s="2" t="s">
        <v>16</v>
      </c>
      <c r="C87" s="2" t="s">
        <v>17</v>
      </c>
      <c r="D87" s="2" t="s">
        <v>18</v>
      </c>
      <c r="E87" s="2" t="s">
        <v>39</v>
      </c>
      <c r="F87">
        <v>185895</v>
      </c>
      <c r="G87">
        <v>10159</v>
      </c>
      <c r="H87">
        <v>1559</v>
      </c>
      <c r="I87">
        <v>796</v>
      </c>
      <c r="J87">
        <v>319</v>
      </c>
      <c r="K87">
        <v>152446.60999999999</v>
      </c>
      <c r="L87">
        <v>2203003.63</v>
      </c>
      <c r="M87" s="2" t="s">
        <v>21</v>
      </c>
      <c r="N87">
        <v>5.4649129885150218</v>
      </c>
      <c r="O87">
        <v>15.006064573284771</v>
      </c>
      <c r="P87">
        <v>15.345998621911605</v>
      </c>
      <c r="Q87">
        <v>477.88905956112848</v>
      </c>
      <c r="R87">
        <v>14.450984708679321</v>
      </c>
    </row>
    <row r="88" spans="1:18" x14ac:dyDescent="0.25">
      <c r="A88" s="1">
        <v>45365</v>
      </c>
      <c r="B88" s="2" t="s">
        <v>24</v>
      </c>
      <c r="C88" s="2" t="s">
        <v>25</v>
      </c>
      <c r="D88" s="2" t="s">
        <v>26</v>
      </c>
      <c r="E88" s="2" t="s">
        <v>38</v>
      </c>
      <c r="F88">
        <v>188495</v>
      </c>
      <c r="G88">
        <v>10549</v>
      </c>
      <c r="H88">
        <v>1800</v>
      </c>
      <c r="I88">
        <v>1004</v>
      </c>
      <c r="J88">
        <v>441</v>
      </c>
      <c r="K88">
        <v>182807.04000000001</v>
      </c>
      <c r="L88">
        <v>2268459.2400000002</v>
      </c>
      <c r="M88" s="2" t="s">
        <v>19</v>
      </c>
      <c r="N88">
        <v>5.5964349186981091</v>
      </c>
      <c r="O88">
        <v>17.329324106550384</v>
      </c>
      <c r="P88">
        <v>17.063228742060861</v>
      </c>
      <c r="Q88">
        <v>414.52843537414969</v>
      </c>
      <c r="R88">
        <v>12.409036544763266</v>
      </c>
    </row>
    <row r="89" spans="1:18" x14ac:dyDescent="0.25">
      <c r="A89" s="1">
        <v>45365</v>
      </c>
      <c r="B89" s="2" t="s">
        <v>16</v>
      </c>
      <c r="C89" s="2" t="s">
        <v>17</v>
      </c>
      <c r="D89" s="2" t="s">
        <v>18</v>
      </c>
      <c r="E89" s="2" t="s">
        <v>39</v>
      </c>
      <c r="F89">
        <v>61348</v>
      </c>
      <c r="G89">
        <v>4749</v>
      </c>
      <c r="H89">
        <v>863</v>
      </c>
      <c r="I89">
        <v>560</v>
      </c>
      <c r="J89">
        <v>278</v>
      </c>
      <c r="K89">
        <v>41334.61</v>
      </c>
      <c r="L89">
        <v>2016292.77</v>
      </c>
      <c r="M89" s="2" t="s">
        <v>22</v>
      </c>
      <c r="N89">
        <v>7.7410836539088477</v>
      </c>
      <c r="O89">
        <v>8.7038555485365343</v>
      </c>
      <c r="P89">
        <v>18.17224678879764</v>
      </c>
      <c r="Q89">
        <v>148.68564748201439</v>
      </c>
      <c r="R89">
        <v>48.779770028070907</v>
      </c>
    </row>
    <row r="90" spans="1:18" x14ac:dyDescent="0.25">
      <c r="A90" s="1">
        <v>45366</v>
      </c>
      <c r="B90" s="2" t="s">
        <v>24</v>
      </c>
      <c r="C90" s="2" t="s">
        <v>25</v>
      </c>
      <c r="D90" s="2" t="s">
        <v>26</v>
      </c>
      <c r="E90" s="2" t="s">
        <v>38</v>
      </c>
      <c r="F90">
        <v>100344</v>
      </c>
      <c r="G90">
        <v>8008</v>
      </c>
      <c r="H90">
        <v>1473</v>
      </c>
      <c r="I90">
        <v>816</v>
      </c>
      <c r="J90">
        <v>424</v>
      </c>
      <c r="K90">
        <v>77929.710000000006</v>
      </c>
      <c r="L90">
        <v>1344335.07</v>
      </c>
      <c r="M90" s="2" t="s">
        <v>21</v>
      </c>
      <c r="N90">
        <v>7.980546918600016</v>
      </c>
      <c r="O90">
        <v>9.7314822677322681</v>
      </c>
      <c r="P90">
        <v>18.394105894105895</v>
      </c>
      <c r="Q90">
        <v>183.79648584905661</v>
      </c>
      <c r="R90">
        <v>17.250610453959087</v>
      </c>
    </row>
    <row r="91" spans="1:18" x14ac:dyDescent="0.25">
      <c r="A91" s="1">
        <v>45366</v>
      </c>
      <c r="B91" s="2" t="s">
        <v>16</v>
      </c>
      <c r="C91" s="2" t="s">
        <v>17</v>
      </c>
      <c r="D91" s="2" t="s">
        <v>18</v>
      </c>
      <c r="E91" s="2" t="s">
        <v>39</v>
      </c>
      <c r="F91">
        <v>194652</v>
      </c>
      <c r="G91">
        <v>12957</v>
      </c>
      <c r="H91">
        <v>2628</v>
      </c>
      <c r="I91">
        <v>1452</v>
      </c>
      <c r="J91">
        <v>793</v>
      </c>
      <c r="K91">
        <v>188268.91</v>
      </c>
      <c r="L91">
        <v>5847270.2300000004</v>
      </c>
      <c r="M91" s="2" t="s">
        <v>21</v>
      </c>
      <c r="N91">
        <v>6.6564946674064487</v>
      </c>
      <c r="O91">
        <v>14.530285559928997</v>
      </c>
      <c r="P91">
        <v>20.282472794628386</v>
      </c>
      <c r="Q91">
        <v>237.41350567465321</v>
      </c>
      <c r="R91">
        <v>31.058076609674959</v>
      </c>
    </row>
    <row r="92" spans="1:18" x14ac:dyDescent="0.25">
      <c r="A92" s="1">
        <v>45367</v>
      </c>
      <c r="B92" s="2" t="s">
        <v>24</v>
      </c>
      <c r="C92" s="2" t="s">
        <v>25</v>
      </c>
      <c r="D92" s="2" t="s">
        <v>26</v>
      </c>
      <c r="E92" s="2" t="s">
        <v>38</v>
      </c>
      <c r="F92">
        <v>275868</v>
      </c>
      <c r="G92">
        <v>10436</v>
      </c>
      <c r="H92">
        <v>1877</v>
      </c>
      <c r="I92">
        <v>1023</v>
      </c>
      <c r="J92">
        <v>453</v>
      </c>
      <c r="K92">
        <v>133644.66</v>
      </c>
      <c r="L92">
        <v>2895845.33</v>
      </c>
      <c r="M92" s="2" t="s">
        <v>19</v>
      </c>
      <c r="N92">
        <v>3.782968666173677</v>
      </c>
      <c r="O92">
        <v>12.806119202759678</v>
      </c>
      <c r="P92">
        <v>17.985818321195861</v>
      </c>
      <c r="Q92">
        <v>295.02132450331129</v>
      </c>
      <c r="R92">
        <v>21.668245704691831</v>
      </c>
    </row>
    <row r="93" spans="1:18" x14ac:dyDescent="0.25">
      <c r="A93" s="1">
        <v>45367</v>
      </c>
      <c r="B93" s="2" t="s">
        <v>16</v>
      </c>
      <c r="C93" s="2" t="s">
        <v>17</v>
      </c>
      <c r="D93" s="2" t="s">
        <v>18</v>
      </c>
      <c r="E93" s="2" t="s">
        <v>39</v>
      </c>
      <c r="F93">
        <v>144241</v>
      </c>
      <c r="G93">
        <v>6954</v>
      </c>
      <c r="H93">
        <v>1273</v>
      </c>
      <c r="I93">
        <v>706</v>
      </c>
      <c r="J93">
        <v>292</v>
      </c>
      <c r="K93">
        <v>70141.8</v>
      </c>
      <c r="L93">
        <v>1034342.01</v>
      </c>
      <c r="M93" s="2" t="s">
        <v>21</v>
      </c>
      <c r="N93">
        <v>4.8210980234468703</v>
      </c>
      <c r="O93">
        <v>10.086540120793789</v>
      </c>
      <c r="P93">
        <v>18.306010928961751</v>
      </c>
      <c r="Q93">
        <v>240.21164383561646</v>
      </c>
      <c r="R93">
        <v>14.746442349640299</v>
      </c>
    </row>
    <row r="94" spans="1:18" x14ac:dyDescent="0.25">
      <c r="A94" s="1">
        <v>45368</v>
      </c>
      <c r="B94" s="2" t="s">
        <v>24</v>
      </c>
      <c r="C94" s="2" t="s">
        <v>25</v>
      </c>
      <c r="D94" s="2" t="s">
        <v>26</v>
      </c>
      <c r="E94" s="2" t="s">
        <v>38</v>
      </c>
      <c r="F94">
        <v>292584</v>
      </c>
      <c r="G94">
        <v>23331</v>
      </c>
      <c r="H94">
        <v>3605</v>
      </c>
      <c r="I94">
        <v>1899</v>
      </c>
      <c r="J94">
        <v>921</v>
      </c>
      <c r="K94">
        <v>169598.15</v>
      </c>
      <c r="L94">
        <v>3162278.82</v>
      </c>
      <c r="M94" s="2" t="s">
        <v>19</v>
      </c>
      <c r="N94">
        <v>7.9741202526453945</v>
      </c>
      <c r="O94">
        <v>7.269219064763619</v>
      </c>
      <c r="P94">
        <v>15.451545154515451</v>
      </c>
      <c r="Q94">
        <v>184.14565689467969</v>
      </c>
      <c r="R94">
        <v>18.645715298191636</v>
      </c>
    </row>
    <row r="95" spans="1:18" x14ac:dyDescent="0.25">
      <c r="A95" s="1">
        <v>45368</v>
      </c>
      <c r="B95" s="2" t="s">
        <v>16</v>
      </c>
      <c r="C95" s="2" t="s">
        <v>17</v>
      </c>
      <c r="D95" s="2" t="s">
        <v>18</v>
      </c>
      <c r="E95" s="2" t="s">
        <v>40</v>
      </c>
      <c r="F95">
        <v>117460</v>
      </c>
      <c r="G95">
        <v>8173</v>
      </c>
      <c r="H95">
        <v>1756</v>
      </c>
      <c r="I95">
        <v>887</v>
      </c>
      <c r="J95">
        <v>365</v>
      </c>
      <c r="K95">
        <v>93791.14</v>
      </c>
      <c r="L95">
        <v>1580107.16</v>
      </c>
      <c r="M95" s="2" t="s">
        <v>23</v>
      </c>
      <c r="N95">
        <v>6.9581134003064875</v>
      </c>
      <c r="O95">
        <v>11.47572984216322</v>
      </c>
      <c r="P95">
        <v>21.485378685917045</v>
      </c>
      <c r="Q95">
        <v>256.96202739726027</v>
      </c>
      <c r="R95">
        <v>16.847083423871378</v>
      </c>
    </row>
    <row r="96" spans="1:18" x14ac:dyDescent="0.25">
      <c r="A96" s="1">
        <v>45369</v>
      </c>
      <c r="B96" s="2" t="s">
        <v>24</v>
      </c>
      <c r="C96" s="2" t="s">
        <v>25</v>
      </c>
      <c r="D96" s="2" t="s">
        <v>26</v>
      </c>
      <c r="E96" s="2" t="s">
        <v>38</v>
      </c>
      <c r="F96">
        <v>160356</v>
      </c>
      <c r="G96">
        <v>10619</v>
      </c>
      <c r="H96">
        <v>2317</v>
      </c>
      <c r="I96">
        <v>1167</v>
      </c>
      <c r="J96">
        <v>687</v>
      </c>
      <c r="K96">
        <v>89639.34</v>
      </c>
      <c r="L96">
        <v>4671783.2</v>
      </c>
      <c r="M96" s="2" t="s">
        <v>23</v>
      </c>
      <c r="N96">
        <v>6.6221407368604854</v>
      </c>
      <c r="O96">
        <v>8.4414106789716534</v>
      </c>
      <c r="P96">
        <v>21.819380355965723</v>
      </c>
      <c r="Q96">
        <v>130.47938864628821</v>
      </c>
      <c r="R96">
        <v>52.117554636167561</v>
      </c>
    </row>
    <row r="97" spans="1:18" x14ac:dyDescent="0.25">
      <c r="A97" s="1">
        <v>45369</v>
      </c>
      <c r="B97" s="2" t="s">
        <v>16</v>
      </c>
      <c r="C97" s="2" t="s">
        <v>17</v>
      </c>
      <c r="D97" s="2" t="s">
        <v>18</v>
      </c>
      <c r="E97" s="2" t="s">
        <v>38</v>
      </c>
      <c r="F97">
        <v>58163</v>
      </c>
      <c r="G97">
        <v>3769</v>
      </c>
      <c r="H97">
        <v>797</v>
      </c>
      <c r="I97">
        <v>395</v>
      </c>
      <c r="J97">
        <v>178</v>
      </c>
      <c r="K97">
        <v>25554.54</v>
      </c>
      <c r="L97">
        <v>1293768.1399999999</v>
      </c>
      <c r="M97" s="2" t="s">
        <v>20</v>
      </c>
      <c r="N97">
        <v>6.4800646459089117</v>
      </c>
      <c r="O97">
        <v>6.7801910321040069</v>
      </c>
      <c r="P97">
        <v>21.146192624038207</v>
      </c>
      <c r="Q97">
        <v>143.56483146067416</v>
      </c>
      <c r="R97">
        <v>50.627721727724307</v>
      </c>
    </row>
    <row r="98" spans="1:18" x14ac:dyDescent="0.25">
      <c r="A98" s="1">
        <v>45370</v>
      </c>
      <c r="B98" s="2" t="s">
        <v>24</v>
      </c>
      <c r="C98" s="2" t="s">
        <v>25</v>
      </c>
      <c r="D98" s="2" t="s">
        <v>26</v>
      </c>
      <c r="E98" s="2" t="s">
        <v>38</v>
      </c>
      <c r="F98">
        <v>172256</v>
      </c>
      <c r="G98">
        <v>8896</v>
      </c>
      <c r="H98">
        <v>2048</v>
      </c>
      <c r="I98">
        <v>985</v>
      </c>
      <c r="J98">
        <v>576</v>
      </c>
      <c r="K98">
        <v>152568.15</v>
      </c>
      <c r="L98">
        <v>1915389.82</v>
      </c>
      <c r="M98" s="2" t="s">
        <v>21</v>
      </c>
      <c r="N98">
        <v>5.1644064647965813</v>
      </c>
      <c r="O98">
        <v>17.150196717625899</v>
      </c>
      <c r="P98">
        <v>23.021582733812952</v>
      </c>
      <c r="Q98">
        <v>264.87526041666666</v>
      </c>
      <c r="R98">
        <v>12.554322904223458</v>
      </c>
    </row>
    <row r="99" spans="1:18" x14ac:dyDescent="0.25">
      <c r="A99" s="1">
        <v>45370</v>
      </c>
      <c r="B99" s="2" t="s">
        <v>16</v>
      </c>
      <c r="C99" s="2" t="s">
        <v>17</v>
      </c>
      <c r="D99" s="2" t="s">
        <v>18</v>
      </c>
      <c r="E99" s="2" t="s">
        <v>38</v>
      </c>
      <c r="F99">
        <v>258133</v>
      </c>
      <c r="G99">
        <v>14755</v>
      </c>
      <c r="H99">
        <v>2438</v>
      </c>
      <c r="I99">
        <v>1536</v>
      </c>
      <c r="J99">
        <v>617</v>
      </c>
      <c r="K99">
        <v>103655.55</v>
      </c>
      <c r="L99">
        <v>4524608.51</v>
      </c>
      <c r="M99" s="2" t="s">
        <v>23</v>
      </c>
      <c r="N99">
        <v>5.716045604397733</v>
      </c>
      <c r="O99">
        <v>7.0251135208403932</v>
      </c>
      <c r="P99">
        <v>16.523212470349034</v>
      </c>
      <c r="Q99">
        <v>167.99927066450567</v>
      </c>
      <c r="R99">
        <v>43.650422095102478</v>
      </c>
    </row>
    <row r="100" spans="1:18" x14ac:dyDescent="0.25">
      <c r="A100" s="1">
        <v>45371</v>
      </c>
      <c r="B100" s="2" t="s">
        <v>24</v>
      </c>
      <c r="C100" s="2" t="s">
        <v>25</v>
      </c>
      <c r="D100" s="2" t="s">
        <v>26</v>
      </c>
      <c r="E100" s="2" t="s">
        <v>38</v>
      </c>
      <c r="F100">
        <v>203648</v>
      </c>
      <c r="G100">
        <v>8947</v>
      </c>
      <c r="H100">
        <v>1995</v>
      </c>
      <c r="I100">
        <v>1108</v>
      </c>
      <c r="J100">
        <v>625</v>
      </c>
      <c r="K100">
        <v>126623.75</v>
      </c>
      <c r="L100">
        <v>3738989.85</v>
      </c>
      <c r="M100" s="2" t="s">
        <v>23</v>
      </c>
      <c r="N100">
        <v>4.3933650219987426</v>
      </c>
      <c r="O100">
        <v>14.152648932603107</v>
      </c>
      <c r="P100">
        <v>22.29797697552252</v>
      </c>
      <c r="Q100">
        <v>202.59800000000001</v>
      </c>
      <c r="R100">
        <v>29.528345590775825</v>
      </c>
    </row>
    <row r="101" spans="1:18" x14ac:dyDescent="0.25">
      <c r="A101" s="1">
        <v>45371</v>
      </c>
      <c r="B101" s="2" t="s">
        <v>16</v>
      </c>
      <c r="C101" s="2" t="s">
        <v>17</v>
      </c>
      <c r="D101" s="2" t="s">
        <v>18</v>
      </c>
      <c r="E101" s="2" t="s">
        <v>39</v>
      </c>
      <c r="F101">
        <v>219527</v>
      </c>
      <c r="G101">
        <v>10693</v>
      </c>
      <c r="H101">
        <v>1929</v>
      </c>
      <c r="I101">
        <v>990</v>
      </c>
      <c r="J101">
        <v>415</v>
      </c>
      <c r="K101">
        <v>203424</v>
      </c>
      <c r="L101">
        <v>2119680.17</v>
      </c>
      <c r="M101" s="2" t="s">
        <v>23</v>
      </c>
      <c r="N101">
        <v>4.8709270385875092</v>
      </c>
      <c r="O101">
        <v>19.024034415037875</v>
      </c>
      <c r="P101">
        <v>18.039839147105582</v>
      </c>
      <c r="Q101">
        <v>490.17831325301205</v>
      </c>
      <c r="R101">
        <v>10.420010274107282</v>
      </c>
    </row>
    <row r="102" spans="1:18" x14ac:dyDescent="0.25">
      <c r="A102" s="1">
        <v>45372</v>
      </c>
      <c r="B102" s="2" t="s">
        <v>24</v>
      </c>
      <c r="C102" s="2" t="s">
        <v>25</v>
      </c>
      <c r="D102" s="2" t="s">
        <v>26</v>
      </c>
      <c r="E102" s="2" t="s">
        <v>38</v>
      </c>
      <c r="F102">
        <v>85480</v>
      </c>
      <c r="G102">
        <v>4749</v>
      </c>
      <c r="H102">
        <v>1166</v>
      </c>
      <c r="I102">
        <v>617</v>
      </c>
      <c r="J102">
        <v>295</v>
      </c>
      <c r="K102">
        <v>77652.63</v>
      </c>
      <c r="L102">
        <v>1845721.68</v>
      </c>
      <c r="M102" s="2" t="s">
        <v>20</v>
      </c>
      <c r="N102">
        <v>5.5556855404773042</v>
      </c>
      <c r="O102">
        <v>16.35136449778901</v>
      </c>
      <c r="P102">
        <v>24.552537376289745</v>
      </c>
      <c r="Q102">
        <v>263.22925423728816</v>
      </c>
      <c r="R102">
        <v>23.768952577652552</v>
      </c>
    </row>
    <row r="103" spans="1:18" x14ac:dyDescent="0.25">
      <c r="A103" s="1">
        <v>45372</v>
      </c>
      <c r="B103" s="2" t="s">
        <v>16</v>
      </c>
      <c r="C103" s="2" t="s">
        <v>17</v>
      </c>
      <c r="D103" s="2" t="s">
        <v>18</v>
      </c>
      <c r="E103" s="2" t="s">
        <v>38</v>
      </c>
      <c r="F103">
        <v>284030</v>
      </c>
      <c r="G103">
        <v>14236</v>
      </c>
      <c r="H103">
        <v>2183</v>
      </c>
      <c r="I103">
        <v>1152</v>
      </c>
      <c r="J103">
        <v>592</v>
      </c>
      <c r="K103">
        <v>262334.25</v>
      </c>
      <c r="L103">
        <v>2663779.71</v>
      </c>
      <c r="M103" s="2" t="s">
        <v>20</v>
      </c>
      <c r="N103">
        <v>5.0121466042319467</v>
      </c>
      <c r="O103">
        <v>18.427525288002247</v>
      </c>
      <c r="P103">
        <v>15.334363585276764</v>
      </c>
      <c r="Q103">
        <v>443.13217905405406</v>
      </c>
      <c r="R103">
        <v>10.154143845113628</v>
      </c>
    </row>
    <row r="104" spans="1:18" x14ac:dyDescent="0.25">
      <c r="A104" s="1">
        <v>45373</v>
      </c>
      <c r="B104" s="2" t="s">
        <v>24</v>
      </c>
      <c r="C104" s="2" t="s">
        <v>25</v>
      </c>
      <c r="D104" s="2" t="s">
        <v>26</v>
      </c>
      <c r="E104" s="2" t="s">
        <v>38</v>
      </c>
      <c r="F104">
        <v>298776</v>
      </c>
      <c r="G104">
        <v>13733</v>
      </c>
      <c r="H104">
        <v>2795</v>
      </c>
      <c r="I104">
        <v>1309</v>
      </c>
      <c r="J104">
        <v>703</v>
      </c>
      <c r="K104">
        <v>212229.85</v>
      </c>
      <c r="L104">
        <v>5350895.5999999996</v>
      </c>
      <c r="M104" s="2" t="s">
        <v>19</v>
      </c>
      <c r="N104">
        <v>4.5964200605135623</v>
      </c>
      <c r="O104">
        <v>15.454004951576495</v>
      </c>
      <c r="P104">
        <v>20.352435738731522</v>
      </c>
      <c r="Q104">
        <v>301.89167852062587</v>
      </c>
      <c r="R104">
        <v>25.212737981956824</v>
      </c>
    </row>
    <row r="105" spans="1:18" x14ac:dyDescent="0.25">
      <c r="A105" s="1">
        <v>45373</v>
      </c>
      <c r="B105" s="2" t="s">
        <v>16</v>
      </c>
      <c r="C105" s="2" t="s">
        <v>17</v>
      </c>
      <c r="D105" s="2" t="s">
        <v>18</v>
      </c>
      <c r="E105" s="2" t="s">
        <v>39</v>
      </c>
      <c r="F105">
        <v>64434</v>
      </c>
      <c r="G105">
        <v>3679</v>
      </c>
      <c r="H105">
        <v>729</v>
      </c>
      <c r="I105">
        <v>397</v>
      </c>
      <c r="J105">
        <v>235</v>
      </c>
      <c r="K105">
        <v>59041.52</v>
      </c>
      <c r="L105">
        <v>1242049.05</v>
      </c>
      <c r="M105" s="2" t="s">
        <v>22</v>
      </c>
      <c r="N105">
        <v>5.709718471614365</v>
      </c>
      <c r="O105">
        <v>16.048252242457188</v>
      </c>
      <c r="P105">
        <v>19.815167164990484</v>
      </c>
      <c r="Q105">
        <v>251.24051063829785</v>
      </c>
      <c r="R105">
        <v>21.036874558785073</v>
      </c>
    </row>
    <row r="106" spans="1:18" x14ac:dyDescent="0.25">
      <c r="A106" s="1">
        <v>45374</v>
      </c>
      <c r="B106" s="2" t="s">
        <v>24</v>
      </c>
      <c r="C106" s="2" t="s">
        <v>25</v>
      </c>
      <c r="D106" s="2" t="s">
        <v>26</v>
      </c>
      <c r="E106" s="2" t="s">
        <v>38</v>
      </c>
      <c r="F106">
        <v>245366</v>
      </c>
      <c r="G106">
        <v>12959</v>
      </c>
      <c r="H106">
        <v>2802</v>
      </c>
      <c r="I106">
        <v>1515</v>
      </c>
      <c r="J106">
        <v>836</v>
      </c>
      <c r="K106">
        <v>241060.05</v>
      </c>
      <c r="L106">
        <v>6091993.9299999997</v>
      </c>
      <c r="M106" s="2" t="s">
        <v>20</v>
      </c>
      <c r="N106">
        <v>5.2814978440370712</v>
      </c>
      <c r="O106">
        <v>18.601747820047841</v>
      </c>
      <c r="P106">
        <v>21.62203873755691</v>
      </c>
      <c r="Q106">
        <v>288.34934210526313</v>
      </c>
      <c r="R106">
        <v>25.271686162846144</v>
      </c>
    </row>
    <row r="107" spans="1:18" x14ac:dyDescent="0.25">
      <c r="A107" s="1">
        <v>45374</v>
      </c>
      <c r="B107" s="2" t="s">
        <v>16</v>
      </c>
      <c r="C107" s="2" t="s">
        <v>17</v>
      </c>
      <c r="D107" s="2" t="s">
        <v>18</v>
      </c>
      <c r="E107" s="2" t="s">
        <v>40</v>
      </c>
      <c r="F107">
        <v>53724</v>
      </c>
      <c r="G107">
        <v>1683</v>
      </c>
      <c r="H107">
        <v>344</v>
      </c>
      <c r="I107">
        <v>159</v>
      </c>
      <c r="J107">
        <v>73</v>
      </c>
      <c r="K107">
        <v>49801.33</v>
      </c>
      <c r="L107">
        <v>513709.91</v>
      </c>
      <c r="M107" s="2" t="s">
        <v>23</v>
      </c>
      <c r="N107">
        <v>3.1326781326781328</v>
      </c>
      <c r="O107">
        <v>29.590808080808081</v>
      </c>
      <c r="P107">
        <v>20.439691027926322</v>
      </c>
      <c r="Q107">
        <v>682.21</v>
      </c>
      <c r="R107">
        <v>10.315184554308086</v>
      </c>
    </row>
    <row r="108" spans="1:18" x14ac:dyDescent="0.25">
      <c r="A108" s="1">
        <v>45375</v>
      </c>
      <c r="B108" s="2" t="s">
        <v>24</v>
      </c>
      <c r="C108" s="2" t="s">
        <v>25</v>
      </c>
      <c r="D108" s="2" t="s">
        <v>26</v>
      </c>
      <c r="E108" s="2" t="s">
        <v>38</v>
      </c>
      <c r="F108">
        <v>240769</v>
      </c>
      <c r="G108">
        <v>8468</v>
      </c>
      <c r="H108">
        <v>1835</v>
      </c>
      <c r="I108">
        <v>987</v>
      </c>
      <c r="J108">
        <v>400</v>
      </c>
      <c r="K108">
        <v>145335.12</v>
      </c>
      <c r="L108">
        <v>2921642.34</v>
      </c>
      <c r="M108" s="2" t="s">
        <v>23</v>
      </c>
      <c r="N108">
        <v>3.5170640738633296</v>
      </c>
      <c r="O108">
        <v>17.162862541332075</v>
      </c>
      <c r="P108">
        <v>21.669815777042984</v>
      </c>
      <c r="Q108">
        <v>363.33780000000002</v>
      </c>
      <c r="R108">
        <v>20.10279648855693</v>
      </c>
    </row>
    <row r="109" spans="1:18" x14ac:dyDescent="0.25">
      <c r="A109" s="1">
        <v>45375</v>
      </c>
      <c r="B109" s="2" t="s">
        <v>16</v>
      </c>
      <c r="C109" s="2" t="s">
        <v>17</v>
      </c>
      <c r="D109" s="2" t="s">
        <v>18</v>
      </c>
      <c r="E109" s="2" t="s">
        <v>38</v>
      </c>
      <c r="F109">
        <v>79876</v>
      </c>
      <c r="G109">
        <v>4171</v>
      </c>
      <c r="H109">
        <v>757</v>
      </c>
      <c r="I109">
        <v>434</v>
      </c>
      <c r="J109">
        <v>226</v>
      </c>
      <c r="K109">
        <v>75946.350000000006</v>
      </c>
      <c r="L109">
        <v>1660035.68</v>
      </c>
      <c r="M109" s="2" t="s">
        <v>20</v>
      </c>
      <c r="N109">
        <v>5.2218438579798683</v>
      </c>
      <c r="O109">
        <v>18.208187485015586</v>
      </c>
      <c r="P109">
        <v>18.149124910093501</v>
      </c>
      <c r="Q109">
        <v>336.04579646017703</v>
      </c>
      <c r="R109">
        <v>21.858004762572524</v>
      </c>
    </row>
    <row r="110" spans="1:18" x14ac:dyDescent="0.25">
      <c r="A110" s="1">
        <v>45376</v>
      </c>
      <c r="B110" s="2" t="s">
        <v>24</v>
      </c>
      <c r="C110" s="2" t="s">
        <v>25</v>
      </c>
      <c r="D110" s="2" t="s">
        <v>26</v>
      </c>
      <c r="E110" s="2" t="s">
        <v>38</v>
      </c>
      <c r="F110">
        <v>122186</v>
      </c>
      <c r="G110">
        <v>5865</v>
      </c>
      <c r="H110">
        <v>1463</v>
      </c>
      <c r="I110">
        <v>777</v>
      </c>
      <c r="J110">
        <v>313</v>
      </c>
      <c r="K110">
        <v>54949.89</v>
      </c>
      <c r="L110">
        <v>1100080.07</v>
      </c>
      <c r="M110" s="2" t="s">
        <v>23</v>
      </c>
      <c r="N110">
        <v>4.8000589265545974</v>
      </c>
      <c r="O110">
        <v>9.3691202046035809</v>
      </c>
      <c r="P110">
        <v>24.944586530264278</v>
      </c>
      <c r="Q110">
        <v>175.55875399361022</v>
      </c>
      <c r="R110">
        <v>20.01969558082828</v>
      </c>
    </row>
    <row r="111" spans="1:18" x14ac:dyDescent="0.25">
      <c r="A111" s="1">
        <v>45376</v>
      </c>
      <c r="B111" s="2" t="s">
        <v>16</v>
      </c>
      <c r="C111" s="2" t="s">
        <v>17</v>
      </c>
      <c r="D111" s="2" t="s">
        <v>18</v>
      </c>
      <c r="E111" s="2" t="s">
        <v>38</v>
      </c>
      <c r="F111">
        <v>199247</v>
      </c>
      <c r="G111">
        <v>9891</v>
      </c>
      <c r="H111">
        <v>2264</v>
      </c>
      <c r="I111">
        <v>1217</v>
      </c>
      <c r="J111">
        <v>616</v>
      </c>
      <c r="K111">
        <v>105185.38</v>
      </c>
      <c r="L111">
        <v>4785145.21</v>
      </c>
      <c r="M111" s="2" t="s">
        <v>21</v>
      </c>
      <c r="N111">
        <v>4.9641901760126883</v>
      </c>
      <c r="O111">
        <v>10.634453543625519</v>
      </c>
      <c r="P111">
        <v>22.889495500960468</v>
      </c>
      <c r="Q111">
        <v>170.75548701298703</v>
      </c>
      <c r="R111">
        <v>45.492493443480448</v>
      </c>
    </row>
    <row r="112" spans="1:18" x14ac:dyDescent="0.25">
      <c r="A112" s="1">
        <v>45377</v>
      </c>
      <c r="B112" s="2" t="s">
        <v>24</v>
      </c>
      <c r="C112" s="2" t="s">
        <v>25</v>
      </c>
      <c r="D112" s="2" t="s">
        <v>26</v>
      </c>
      <c r="E112" s="2" t="s">
        <v>38</v>
      </c>
      <c r="F112">
        <v>274044</v>
      </c>
      <c r="G112">
        <v>13557</v>
      </c>
      <c r="H112">
        <v>2893</v>
      </c>
      <c r="I112">
        <v>1644</v>
      </c>
      <c r="J112">
        <v>828</v>
      </c>
      <c r="K112">
        <v>131707.57999999999</v>
      </c>
      <c r="L112">
        <v>6173759.6799999997</v>
      </c>
      <c r="M112" s="2" t="s">
        <v>20</v>
      </c>
      <c r="N112">
        <v>4.9470158076805184</v>
      </c>
      <c r="O112">
        <v>9.7150977354872019</v>
      </c>
      <c r="P112">
        <v>21.339529394408792</v>
      </c>
      <c r="Q112">
        <v>159.06712560386472</v>
      </c>
      <c r="R112">
        <v>46.874748438928115</v>
      </c>
    </row>
    <row r="113" spans="1:18" x14ac:dyDescent="0.25">
      <c r="A113" s="1">
        <v>45377</v>
      </c>
      <c r="B113" s="2" t="s">
        <v>16</v>
      </c>
      <c r="C113" s="2" t="s">
        <v>17</v>
      </c>
      <c r="D113" s="2" t="s">
        <v>18</v>
      </c>
      <c r="E113" s="2" t="s">
        <v>39</v>
      </c>
      <c r="F113">
        <v>244500</v>
      </c>
      <c r="G113">
        <v>9131</v>
      </c>
      <c r="H113">
        <v>2098</v>
      </c>
      <c r="I113">
        <v>1346</v>
      </c>
      <c r="J113">
        <v>655</v>
      </c>
      <c r="K113">
        <v>146175.82</v>
      </c>
      <c r="L113">
        <v>3464551.93</v>
      </c>
      <c r="M113" s="2" t="s">
        <v>21</v>
      </c>
      <c r="N113">
        <v>3.7345603271983641</v>
      </c>
      <c r="O113">
        <v>16.00874164932647</v>
      </c>
      <c r="P113">
        <v>22.976672872631696</v>
      </c>
      <c r="Q113">
        <v>223.16919083969466</v>
      </c>
      <c r="R113">
        <v>23.701265571829868</v>
      </c>
    </row>
    <row r="114" spans="1:18" x14ac:dyDescent="0.25">
      <c r="A114" s="1">
        <v>45378</v>
      </c>
      <c r="B114" s="2" t="s">
        <v>24</v>
      </c>
      <c r="C114" s="2" t="s">
        <v>25</v>
      </c>
      <c r="D114" s="2" t="s">
        <v>26</v>
      </c>
      <c r="E114" s="2" t="s">
        <v>38</v>
      </c>
      <c r="F114">
        <v>75569</v>
      </c>
      <c r="G114">
        <v>3044</v>
      </c>
      <c r="H114">
        <v>699</v>
      </c>
      <c r="I114">
        <v>363</v>
      </c>
      <c r="J114">
        <v>210</v>
      </c>
      <c r="K114">
        <v>43169.18</v>
      </c>
      <c r="L114">
        <v>954211.72</v>
      </c>
      <c r="M114" s="2" t="s">
        <v>22</v>
      </c>
      <c r="N114">
        <v>4.0281067633553445</v>
      </c>
      <c r="O114">
        <v>14.181727989487516</v>
      </c>
      <c r="P114">
        <v>22.963206307490143</v>
      </c>
      <c r="Q114">
        <v>205.56752380952381</v>
      </c>
      <c r="R114">
        <v>22.10400382865739</v>
      </c>
    </row>
    <row r="115" spans="1:18" x14ac:dyDescent="0.25">
      <c r="A115" s="1">
        <v>45378</v>
      </c>
      <c r="B115" s="2" t="s">
        <v>16</v>
      </c>
      <c r="C115" s="2" t="s">
        <v>17</v>
      </c>
      <c r="D115" s="2" t="s">
        <v>18</v>
      </c>
      <c r="E115" s="2" t="s">
        <v>38</v>
      </c>
      <c r="F115">
        <v>62090</v>
      </c>
      <c r="G115">
        <v>3649</v>
      </c>
      <c r="H115">
        <v>636</v>
      </c>
      <c r="I115">
        <v>301</v>
      </c>
      <c r="J115">
        <v>174</v>
      </c>
      <c r="K115">
        <v>58686.75</v>
      </c>
      <c r="L115">
        <v>569195.34</v>
      </c>
      <c r="M115" s="2" t="s">
        <v>23</v>
      </c>
      <c r="N115">
        <v>5.876952810436463</v>
      </c>
      <c r="O115">
        <v>16.082967936420935</v>
      </c>
      <c r="P115">
        <v>17.429432721293505</v>
      </c>
      <c r="Q115">
        <v>337.28017241379308</v>
      </c>
      <c r="R115">
        <v>9.6988730846400593</v>
      </c>
    </row>
    <row r="116" spans="1:18" x14ac:dyDescent="0.25">
      <c r="A116" s="1">
        <v>45379</v>
      </c>
      <c r="B116" s="2" t="s">
        <v>24</v>
      </c>
      <c r="C116" s="2" t="s">
        <v>25</v>
      </c>
      <c r="D116" s="2" t="s">
        <v>26</v>
      </c>
      <c r="E116" s="2" t="s">
        <v>38</v>
      </c>
      <c r="F116">
        <v>151614</v>
      </c>
      <c r="G116">
        <v>5544</v>
      </c>
      <c r="H116">
        <v>1000</v>
      </c>
      <c r="I116">
        <v>552</v>
      </c>
      <c r="J116">
        <v>221</v>
      </c>
      <c r="K116">
        <v>66293.7</v>
      </c>
      <c r="L116">
        <v>838838.11</v>
      </c>
      <c r="M116" s="2" t="s">
        <v>23</v>
      </c>
      <c r="N116">
        <v>3.6566543986703075</v>
      </c>
      <c r="O116">
        <v>11.957738095238094</v>
      </c>
      <c r="P116">
        <v>18.037518037518037</v>
      </c>
      <c r="Q116">
        <v>299.97149321266966</v>
      </c>
      <c r="R116">
        <v>12.653360877428776</v>
      </c>
    </row>
    <row r="117" spans="1:18" x14ac:dyDescent="0.25">
      <c r="A117" s="1">
        <v>45379</v>
      </c>
      <c r="B117" s="2" t="s">
        <v>16</v>
      </c>
      <c r="C117" s="2" t="s">
        <v>17</v>
      </c>
      <c r="D117" s="2" t="s">
        <v>18</v>
      </c>
      <c r="E117" s="2" t="s">
        <v>38</v>
      </c>
      <c r="F117">
        <v>275576</v>
      </c>
      <c r="G117">
        <v>19381</v>
      </c>
      <c r="H117">
        <v>2993</v>
      </c>
      <c r="I117">
        <v>1920</v>
      </c>
      <c r="J117">
        <v>883</v>
      </c>
      <c r="K117">
        <v>152033.82</v>
      </c>
      <c r="L117">
        <v>2850575.87</v>
      </c>
      <c r="M117" s="2" t="s">
        <v>22</v>
      </c>
      <c r="N117">
        <v>7.0329056231311871</v>
      </c>
      <c r="O117">
        <v>7.8444775811361644</v>
      </c>
      <c r="P117">
        <v>15.442959599607864</v>
      </c>
      <c r="Q117">
        <v>172.17873159682901</v>
      </c>
      <c r="R117">
        <v>18.749616828676672</v>
      </c>
    </row>
    <row r="118" spans="1:18" x14ac:dyDescent="0.25">
      <c r="A118" s="1">
        <v>45380</v>
      </c>
      <c r="B118" s="2" t="s">
        <v>24</v>
      </c>
      <c r="C118" s="2" t="s">
        <v>25</v>
      </c>
      <c r="D118" s="2" t="s">
        <v>26</v>
      </c>
      <c r="E118" s="2" t="s">
        <v>38</v>
      </c>
      <c r="F118">
        <v>128767</v>
      </c>
      <c r="G118">
        <v>7454</v>
      </c>
      <c r="H118">
        <v>1142</v>
      </c>
      <c r="I118">
        <v>540</v>
      </c>
      <c r="J118">
        <v>253</v>
      </c>
      <c r="K118">
        <v>99239.26</v>
      </c>
      <c r="L118">
        <v>960812.07</v>
      </c>
      <c r="M118" s="2" t="s">
        <v>19</v>
      </c>
      <c r="N118">
        <v>5.7887502232714905</v>
      </c>
      <c r="O118">
        <v>13.313557821303997</v>
      </c>
      <c r="P118">
        <v>15.320633217064664</v>
      </c>
      <c r="Q118">
        <v>392.2500395256917</v>
      </c>
      <c r="R118">
        <v>9.6817738262054753</v>
      </c>
    </row>
    <row r="119" spans="1:18" x14ac:dyDescent="0.25">
      <c r="A119" s="1">
        <v>45380</v>
      </c>
      <c r="B119" s="2" t="s">
        <v>16</v>
      </c>
      <c r="C119" s="2" t="s">
        <v>17</v>
      </c>
      <c r="D119" s="2" t="s">
        <v>18</v>
      </c>
      <c r="E119" s="2" t="s">
        <v>40</v>
      </c>
      <c r="F119">
        <v>94022</v>
      </c>
      <c r="G119">
        <v>2854</v>
      </c>
      <c r="H119">
        <v>695</v>
      </c>
      <c r="I119">
        <v>411</v>
      </c>
      <c r="J119">
        <v>192</v>
      </c>
      <c r="K119">
        <v>58116.78</v>
      </c>
      <c r="L119">
        <v>1323997.7</v>
      </c>
      <c r="M119" s="2" t="s">
        <v>20</v>
      </c>
      <c r="N119">
        <v>3.0354597860075305</v>
      </c>
      <c r="O119">
        <v>20.363272599859844</v>
      </c>
      <c r="P119">
        <v>24.351786965662228</v>
      </c>
      <c r="Q119">
        <v>302.69156249999997</v>
      </c>
      <c r="R119">
        <v>22.781676823802005</v>
      </c>
    </row>
    <row r="120" spans="1:18" x14ac:dyDescent="0.25">
      <c r="A120" s="1">
        <v>45381</v>
      </c>
      <c r="B120" s="2" t="s">
        <v>24</v>
      </c>
      <c r="C120" s="2" t="s">
        <v>25</v>
      </c>
      <c r="D120" s="2" t="s">
        <v>26</v>
      </c>
      <c r="E120" s="2" t="s">
        <v>38</v>
      </c>
      <c r="F120">
        <v>168427</v>
      </c>
      <c r="G120">
        <v>7496</v>
      </c>
      <c r="H120">
        <v>1354</v>
      </c>
      <c r="I120">
        <v>707</v>
      </c>
      <c r="J120">
        <v>399</v>
      </c>
      <c r="K120">
        <v>121004.62</v>
      </c>
      <c r="L120">
        <v>2780010.07</v>
      </c>
      <c r="M120" s="2" t="s">
        <v>20</v>
      </c>
      <c r="N120">
        <v>4.450592838440393</v>
      </c>
      <c r="O120">
        <v>16.142558697972252</v>
      </c>
      <c r="P120">
        <v>18.062966915688367</v>
      </c>
      <c r="Q120">
        <v>303.26972431077695</v>
      </c>
      <c r="R120">
        <v>22.974412629864876</v>
      </c>
    </row>
    <row r="121" spans="1:18" x14ac:dyDescent="0.25">
      <c r="A121" s="1">
        <v>45381</v>
      </c>
      <c r="B121" s="2" t="s">
        <v>16</v>
      </c>
      <c r="C121" s="2" t="s">
        <v>17</v>
      </c>
      <c r="D121" s="2" t="s">
        <v>18</v>
      </c>
      <c r="E121" s="2" t="s">
        <v>38</v>
      </c>
      <c r="F121">
        <v>153437</v>
      </c>
      <c r="G121">
        <v>5657</v>
      </c>
      <c r="H121">
        <v>1049</v>
      </c>
      <c r="I121">
        <v>519</v>
      </c>
      <c r="J121">
        <v>211</v>
      </c>
      <c r="K121">
        <v>147977.24</v>
      </c>
      <c r="L121">
        <v>1161334.2</v>
      </c>
      <c r="M121" s="2" t="s">
        <v>21</v>
      </c>
      <c r="N121">
        <v>3.6868551913814787</v>
      </c>
      <c r="O121">
        <v>26.158253491249777</v>
      </c>
      <c r="P121">
        <v>18.543397560544459</v>
      </c>
      <c r="Q121">
        <v>701.31393364928908</v>
      </c>
      <c r="R121">
        <v>7.8480596070044291</v>
      </c>
    </row>
    <row r="122" spans="1:18" x14ac:dyDescent="0.25">
      <c r="A122" s="1">
        <v>45382</v>
      </c>
      <c r="B122" s="2" t="s">
        <v>24</v>
      </c>
      <c r="C122" s="2" t="s">
        <v>25</v>
      </c>
      <c r="D122" s="2" t="s">
        <v>26</v>
      </c>
      <c r="E122" s="2" t="s">
        <v>38</v>
      </c>
      <c r="F122">
        <v>80636</v>
      </c>
      <c r="G122">
        <v>5687</v>
      </c>
      <c r="H122">
        <v>1072</v>
      </c>
      <c r="I122">
        <v>607</v>
      </c>
      <c r="J122">
        <v>344</v>
      </c>
      <c r="K122">
        <v>59284.93</v>
      </c>
      <c r="L122">
        <v>2288813.48</v>
      </c>
      <c r="M122" s="2" t="s">
        <v>21</v>
      </c>
      <c r="N122">
        <v>7.0526811845825685</v>
      </c>
      <c r="O122">
        <v>10.424640407947951</v>
      </c>
      <c r="P122">
        <v>18.850008791981711</v>
      </c>
      <c r="Q122">
        <v>172.33991279069767</v>
      </c>
      <c r="R122">
        <v>38.607003162523768</v>
      </c>
    </row>
    <row r="123" spans="1:18" x14ac:dyDescent="0.25">
      <c r="A123" s="1">
        <v>45382</v>
      </c>
      <c r="B123" s="2" t="s">
        <v>16</v>
      </c>
      <c r="C123" s="2" t="s">
        <v>17</v>
      </c>
      <c r="D123" s="2" t="s">
        <v>18</v>
      </c>
      <c r="E123" s="2" t="s">
        <v>40</v>
      </c>
      <c r="F123">
        <v>158630</v>
      </c>
      <c r="G123">
        <v>4927</v>
      </c>
      <c r="H123">
        <v>822</v>
      </c>
      <c r="I123">
        <v>475</v>
      </c>
      <c r="J123">
        <v>264</v>
      </c>
      <c r="K123">
        <v>141499.38</v>
      </c>
      <c r="L123">
        <v>1140875.76</v>
      </c>
      <c r="M123" s="2" t="s">
        <v>21</v>
      </c>
      <c r="N123">
        <v>3.1059698669860683</v>
      </c>
      <c r="O123">
        <v>28.719175969149585</v>
      </c>
      <c r="P123">
        <v>16.683580271970776</v>
      </c>
      <c r="Q123">
        <v>535.98250000000007</v>
      </c>
      <c r="R123">
        <v>8.0627615470823972</v>
      </c>
    </row>
    <row r="124" spans="1:18" x14ac:dyDescent="0.25">
      <c r="A124" s="1">
        <v>45383</v>
      </c>
      <c r="B124" s="2" t="s">
        <v>24</v>
      </c>
      <c r="C124" s="2" t="s">
        <v>25</v>
      </c>
      <c r="D124" s="2" t="s">
        <v>26</v>
      </c>
      <c r="E124" s="2" t="s">
        <v>38</v>
      </c>
      <c r="F124">
        <v>186499</v>
      </c>
      <c r="G124">
        <v>6536</v>
      </c>
      <c r="H124">
        <v>1354</v>
      </c>
      <c r="I124">
        <v>621</v>
      </c>
      <c r="J124">
        <v>368</v>
      </c>
      <c r="K124">
        <v>85229.02</v>
      </c>
      <c r="L124">
        <v>2637713.85</v>
      </c>
      <c r="M124" s="2" t="s">
        <v>19</v>
      </c>
      <c r="N124">
        <v>3.5045764320452122</v>
      </c>
      <c r="O124">
        <v>13.039935740514077</v>
      </c>
      <c r="P124">
        <v>20.716034271725825</v>
      </c>
      <c r="Q124">
        <v>231.60059782608695</v>
      </c>
      <c r="R124">
        <v>30.948541353637527</v>
      </c>
    </row>
    <row r="125" spans="1:18" x14ac:dyDescent="0.25">
      <c r="A125" s="1">
        <v>45384</v>
      </c>
      <c r="B125" s="2" t="s">
        <v>24</v>
      </c>
      <c r="C125" s="2" t="s">
        <v>25</v>
      </c>
      <c r="D125" s="2" t="s">
        <v>26</v>
      </c>
      <c r="E125" s="2" t="s">
        <v>38</v>
      </c>
      <c r="F125">
        <v>280440</v>
      </c>
      <c r="G125">
        <v>19647</v>
      </c>
      <c r="H125">
        <v>3222</v>
      </c>
      <c r="I125">
        <v>1784</v>
      </c>
      <c r="J125">
        <v>885</v>
      </c>
      <c r="K125">
        <v>254339</v>
      </c>
      <c r="L125">
        <v>4246093.25</v>
      </c>
      <c r="M125" s="2" t="s">
        <v>20</v>
      </c>
      <c r="N125">
        <v>7.005776636713736</v>
      </c>
      <c r="O125">
        <v>12.945436962386115</v>
      </c>
      <c r="P125">
        <v>16.399450297755383</v>
      </c>
      <c r="Q125">
        <v>287.38870056497177</v>
      </c>
      <c r="R125">
        <v>16.694621155229832</v>
      </c>
    </row>
    <row r="126" spans="1:18" x14ac:dyDescent="0.25">
      <c r="A126" s="1">
        <v>45385</v>
      </c>
      <c r="B126" s="2" t="s">
        <v>24</v>
      </c>
      <c r="C126" s="2" t="s">
        <v>25</v>
      </c>
      <c r="D126" s="2" t="s">
        <v>26</v>
      </c>
      <c r="E126" s="2" t="s">
        <v>38</v>
      </c>
      <c r="F126">
        <v>79911</v>
      </c>
      <c r="G126">
        <v>2837</v>
      </c>
      <c r="H126">
        <v>458</v>
      </c>
      <c r="I126">
        <v>283</v>
      </c>
      <c r="J126">
        <v>153</v>
      </c>
      <c r="K126">
        <v>34959.15</v>
      </c>
      <c r="L126">
        <v>584662.54</v>
      </c>
      <c r="M126" s="2" t="s">
        <v>23</v>
      </c>
      <c r="N126">
        <v>3.5501995970517202</v>
      </c>
      <c r="O126">
        <v>12.322576665491717</v>
      </c>
      <c r="P126">
        <v>16.143813887909765</v>
      </c>
      <c r="Q126">
        <v>228.49117647058824</v>
      </c>
      <c r="R126">
        <v>16.724163487956659</v>
      </c>
    </row>
    <row r="127" spans="1:18" x14ac:dyDescent="0.25">
      <c r="A127" s="1">
        <v>45386</v>
      </c>
      <c r="B127" s="2" t="s">
        <v>24</v>
      </c>
      <c r="C127" s="2" t="s">
        <v>25</v>
      </c>
      <c r="D127" s="2" t="s">
        <v>26</v>
      </c>
      <c r="E127" s="2" t="s">
        <v>38</v>
      </c>
      <c r="F127">
        <v>274653</v>
      </c>
      <c r="G127">
        <v>14146</v>
      </c>
      <c r="H127">
        <v>2816</v>
      </c>
      <c r="I127">
        <v>1386</v>
      </c>
      <c r="J127">
        <v>561</v>
      </c>
      <c r="K127">
        <v>208104.41</v>
      </c>
      <c r="L127">
        <v>3892837.87</v>
      </c>
      <c r="M127" s="2" t="s">
        <v>19</v>
      </c>
      <c r="N127">
        <v>5.1504989932751508</v>
      </c>
      <c r="O127">
        <v>14.711184080305387</v>
      </c>
      <c r="P127">
        <v>19.906687402799378</v>
      </c>
      <c r="Q127">
        <v>370.95260249554366</v>
      </c>
      <c r="R127">
        <v>18.706176721579325</v>
      </c>
    </row>
    <row r="128" spans="1:18" x14ac:dyDescent="0.25">
      <c r="A128" s="1">
        <v>45387</v>
      </c>
      <c r="B128" s="2" t="s">
        <v>24</v>
      </c>
      <c r="C128" s="2" t="s">
        <v>25</v>
      </c>
      <c r="D128" s="2" t="s">
        <v>26</v>
      </c>
      <c r="E128" s="2" t="s">
        <v>38</v>
      </c>
      <c r="F128">
        <v>165340</v>
      </c>
      <c r="G128">
        <v>10645</v>
      </c>
      <c r="H128">
        <v>1684</v>
      </c>
      <c r="I128">
        <v>807</v>
      </c>
      <c r="J128">
        <v>389</v>
      </c>
      <c r="K128">
        <v>129203.32</v>
      </c>
      <c r="L128">
        <v>3018743.31</v>
      </c>
      <c r="M128" s="2" t="s">
        <v>19</v>
      </c>
      <c r="N128">
        <v>6.4382484577234793</v>
      </c>
      <c r="O128">
        <v>12.137465476749648</v>
      </c>
      <c r="P128">
        <v>15.819633630812588</v>
      </c>
      <c r="Q128">
        <v>332.14221079691521</v>
      </c>
      <c r="R128">
        <v>23.364285917730285</v>
      </c>
    </row>
    <row r="129" spans="1:18" x14ac:dyDescent="0.25">
      <c r="A129" s="1">
        <v>45388</v>
      </c>
      <c r="B129" s="2" t="s">
        <v>24</v>
      </c>
      <c r="C129" s="2" t="s">
        <v>25</v>
      </c>
      <c r="D129" s="2" t="s">
        <v>26</v>
      </c>
      <c r="E129" s="2" t="s">
        <v>38</v>
      </c>
      <c r="F129">
        <v>282778</v>
      </c>
      <c r="G129">
        <v>15067</v>
      </c>
      <c r="H129">
        <v>2772</v>
      </c>
      <c r="I129">
        <v>1717</v>
      </c>
      <c r="J129">
        <v>949</v>
      </c>
      <c r="K129">
        <v>219848.01</v>
      </c>
      <c r="L129">
        <v>5156798.93</v>
      </c>
      <c r="M129" s="2" t="s">
        <v>19</v>
      </c>
      <c r="N129">
        <v>5.3282079935497109</v>
      </c>
      <c r="O129">
        <v>14.591359261963232</v>
      </c>
      <c r="P129">
        <v>18.397823057012015</v>
      </c>
      <c r="Q129">
        <v>231.662813487882</v>
      </c>
      <c r="R129">
        <v>23.45620017210981</v>
      </c>
    </row>
    <row r="130" spans="1:18" x14ac:dyDescent="0.25">
      <c r="A130" s="1">
        <v>45389</v>
      </c>
      <c r="B130" s="2" t="s">
        <v>24</v>
      </c>
      <c r="C130" s="2" t="s">
        <v>25</v>
      </c>
      <c r="D130" s="2" t="s">
        <v>26</v>
      </c>
      <c r="E130" s="2" t="s">
        <v>38</v>
      </c>
      <c r="F130">
        <v>285987</v>
      </c>
      <c r="G130">
        <v>22561</v>
      </c>
      <c r="H130">
        <v>5121</v>
      </c>
      <c r="I130">
        <v>2466</v>
      </c>
      <c r="J130">
        <v>1091</v>
      </c>
      <c r="K130">
        <v>146348.42000000001</v>
      </c>
      <c r="L130">
        <v>3872314.53</v>
      </c>
      <c r="M130" s="2" t="s">
        <v>22</v>
      </c>
      <c r="N130">
        <v>7.8888201211943203</v>
      </c>
      <c r="O130">
        <v>6.4867878196888444</v>
      </c>
      <c r="P130">
        <v>22.698461947608706</v>
      </c>
      <c r="Q130">
        <v>134.14153987167737</v>
      </c>
      <c r="R130">
        <v>26.459558155803798</v>
      </c>
    </row>
    <row r="131" spans="1:18" x14ac:dyDescent="0.25">
      <c r="A131" s="1">
        <v>45390</v>
      </c>
      <c r="B131" s="2" t="s">
        <v>24</v>
      </c>
      <c r="C131" s="2" t="s">
        <v>25</v>
      </c>
      <c r="D131" s="2" t="s">
        <v>26</v>
      </c>
      <c r="E131" s="2" t="s">
        <v>38</v>
      </c>
      <c r="F131">
        <v>200034</v>
      </c>
      <c r="G131">
        <v>14443</v>
      </c>
      <c r="H131">
        <v>3338</v>
      </c>
      <c r="I131">
        <v>1578</v>
      </c>
      <c r="J131">
        <v>716</v>
      </c>
      <c r="K131">
        <v>189341.96</v>
      </c>
      <c r="L131">
        <v>5411518.9299999997</v>
      </c>
      <c r="M131" s="2" t="s">
        <v>22</v>
      </c>
      <c r="N131">
        <v>7.2202725536658772</v>
      </c>
      <c r="O131">
        <v>13.109600498511389</v>
      </c>
      <c r="P131">
        <v>23.111541923423111</v>
      </c>
      <c r="Q131">
        <v>264.44407821229049</v>
      </c>
      <c r="R131">
        <v>28.580663947917301</v>
      </c>
    </row>
    <row r="132" spans="1:18" x14ac:dyDescent="0.25">
      <c r="A132" s="1">
        <v>45391</v>
      </c>
      <c r="B132" s="2" t="s">
        <v>24</v>
      </c>
      <c r="C132" s="2" t="s">
        <v>25</v>
      </c>
      <c r="D132" s="2" t="s">
        <v>26</v>
      </c>
      <c r="E132" s="2" t="s">
        <v>38</v>
      </c>
      <c r="F132">
        <v>114098</v>
      </c>
      <c r="G132">
        <v>4796</v>
      </c>
      <c r="H132">
        <v>979</v>
      </c>
      <c r="I132">
        <v>559</v>
      </c>
      <c r="J132">
        <v>277</v>
      </c>
      <c r="K132">
        <v>95244.65</v>
      </c>
      <c r="L132">
        <v>1500707.12</v>
      </c>
      <c r="M132" s="2" t="s">
        <v>22</v>
      </c>
      <c r="N132">
        <v>4.2034040912198281</v>
      </c>
      <c r="O132">
        <v>19.859184737281065</v>
      </c>
      <c r="P132">
        <v>20.412844036697248</v>
      </c>
      <c r="Q132">
        <v>343.84350180505413</v>
      </c>
      <c r="R132">
        <v>15.756340329876798</v>
      </c>
    </row>
    <row r="133" spans="1:18" x14ac:dyDescent="0.25">
      <c r="A133" s="1">
        <v>45392</v>
      </c>
      <c r="B133" s="2" t="s">
        <v>24</v>
      </c>
      <c r="C133" s="2" t="s">
        <v>25</v>
      </c>
      <c r="D133" s="2" t="s">
        <v>26</v>
      </c>
      <c r="E133" s="2" t="s">
        <v>38</v>
      </c>
      <c r="F133">
        <v>230730</v>
      </c>
      <c r="G133">
        <v>8044</v>
      </c>
      <c r="H133">
        <v>1273</v>
      </c>
      <c r="I133">
        <v>591</v>
      </c>
      <c r="J133">
        <v>285</v>
      </c>
      <c r="K133">
        <v>100417.85</v>
      </c>
      <c r="L133">
        <v>2085502.25</v>
      </c>
      <c r="M133" s="2" t="s">
        <v>20</v>
      </c>
      <c r="N133">
        <v>3.4863260087548218</v>
      </c>
      <c r="O133">
        <v>12.483571606166088</v>
      </c>
      <c r="P133">
        <v>15.825459970164097</v>
      </c>
      <c r="Q133">
        <v>352.34333333333336</v>
      </c>
      <c r="R133">
        <v>20.768242399135211</v>
      </c>
    </row>
    <row r="134" spans="1:18" x14ac:dyDescent="0.25">
      <c r="A134" s="1">
        <v>45393</v>
      </c>
      <c r="B134" s="2" t="s">
        <v>24</v>
      </c>
      <c r="C134" s="2" t="s">
        <v>25</v>
      </c>
      <c r="D134" s="2" t="s">
        <v>26</v>
      </c>
      <c r="E134" s="2" t="s">
        <v>38</v>
      </c>
      <c r="F134">
        <v>221570</v>
      </c>
      <c r="G134">
        <v>12355</v>
      </c>
      <c r="H134">
        <v>2256</v>
      </c>
      <c r="I134">
        <v>1301</v>
      </c>
      <c r="J134">
        <v>521</v>
      </c>
      <c r="K134">
        <v>200217.89</v>
      </c>
      <c r="L134">
        <v>2522440.58</v>
      </c>
      <c r="M134" s="2" t="s">
        <v>22</v>
      </c>
      <c r="N134">
        <v>5.5761159001669895</v>
      </c>
      <c r="O134">
        <v>16.205414002428167</v>
      </c>
      <c r="P134">
        <v>18.259813840550386</v>
      </c>
      <c r="Q134">
        <v>384.29537428023036</v>
      </c>
      <c r="R134">
        <v>12.598477488699935</v>
      </c>
    </row>
    <row r="135" spans="1:18" x14ac:dyDescent="0.25">
      <c r="A135" s="1">
        <v>45394</v>
      </c>
      <c r="B135" s="2" t="s">
        <v>24</v>
      </c>
      <c r="C135" s="2" t="s">
        <v>25</v>
      </c>
      <c r="D135" s="2" t="s">
        <v>26</v>
      </c>
      <c r="E135" s="2" t="s">
        <v>38</v>
      </c>
      <c r="F135">
        <v>241871</v>
      </c>
      <c r="G135">
        <v>18824</v>
      </c>
      <c r="H135">
        <v>3533</v>
      </c>
      <c r="I135">
        <v>2181</v>
      </c>
      <c r="J135">
        <v>917</v>
      </c>
      <c r="K135">
        <v>126584.31</v>
      </c>
      <c r="L135">
        <v>7087676.71</v>
      </c>
      <c r="M135" s="2" t="s">
        <v>23</v>
      </c>
      <c r="N135">
        <v>7.7826610052465979</v>
      </c>
      <c r="O135">
        <v>6.7246233531661703</v>
      </c>
      <c r="P135">
        <v>18.768593285167871</v>
      </c>
      <c r="Q135">
        <v>138.04177753544167</v>
      </c>
      <c r="R135">
        <v>55.991747397446019</v>
      </c>
    </row>
    <row r="136" spans="1:18" x14ac:dyDescent="0.25">
      <c r="A136" s="1">
        <v>45395</v>
      </c>
      <c r="B136" s="2" t="s">
        <v>24</v>
      </c>
      <c r="C136" s="2" t="s">
        <v>25</v>
      </c>
      <c r="D136" s="2" t="s">
        <v>26</v>
      </c>
      <c r="E136" s="2" t="s">
        <v>38</v>
      </c>
      <c r="F136">
        <v>288853</v>
      </c>
      <c r="G136">
        <v>12032</v>
      </c>
      <c r="H136">
        <v>2732</v>
      </c>
      <c r="I136">
        <v>1717</v>
      </c>
      <c r="J136">
        <v>785</v>
      </c>
      <c r="K136">
        <v>202094.55</v>
      </c>
      <c r="L136">
        <v>2398171.83</v>
      </c>
      <c r="M136" s="2" t="s">
        <v>21</v>
      </c>
      <c r="N136">
        <v>4.1654405528071372</v>
      </c>
      <c r="O136">
        <v>16.796422041223405</v>
      </c>
      <c r="P136">
        <v>22.706117021276594</v>
      </c>
      <c r="Q136">
        <v>257.44528662420379</v>
      </c>
      <c r="R136">
        <v>11.86658338881479</v>
      </c>
    </row>
    <row r="137" spans="1:18" x14ac:dyDescent="0.25">
      <c r="A137" s="1">
        <v>45396</v>
      </c>
      <c r="B137" s="2" t="s">
        <v>24</v>
      </c>
      <c r="C137" s="2" t="s">
        <v>25</v>
      </c>
      <c r="D137" s="2" t="s">
        <v>26</v>
      </c>
      <c r="E137" s="2" t="s">
        <v>38</v>
      </c>
      <c r="F137">
        <v>213540</v>
      </c>
      <c r="G137">
        <v>14462</v>
      </c>
      <c r="H137">
        <v>3456</v>
      </c>
      <c r="I137">
        <v>1678</v>
      </c>
      <c r="J137">
        <v>696</v>
      </c>
      <c r="K137">
        <v>108897.67</v>
      </c>
      <c r="L137">
        <v>3431908.04</v>
      </c>
      <c r="M137" s="2" t="s">
        <v>19</v>
      </c>
      <c r="N137">
        <v>6.7725016390371833</v>
      </c>
      <c r="O137">
        <v>7.5299177153920622</v>
      </c>
      <c r="P137">
        <v>23.897109666712765</v>
      </c>
      <c r="Q137">
        <v>156.46216954022989</v>
      </c>
      <c r="R137">
        <v>31.514981358187004</v>
      </c>
    </row>
    <row r="138" spans="1:18" x14ac:dyDescent="0.25">
      <c r="A138" s="1">
        <v>45397</v>
      </c>
      <c r="B138" s="2" t="s">
        <v>24</v>
      </c>
      <c r="C138" s="2" t="s">
        <v>25</v>
      </c>
      <c r="D138" s="2" t="s">
        <v>26</v>
      </c>
      <c r="E138" s="2" t="s">
        <v>38</v>
      </c>
      <c r="F138">
        <v>72233</v>
      </c>
      <c r="G138">
        <v>3762</v>
      </c>
      <c r="H138">
        <v>590</v>
      </c>
      <c r="I138">
        <v>318</v>
      </c>
      <c r="J138">
        <v>184</v>
      </c>
      <c r="K138">
        <v>57707.1</v>
      </c>
      <c r="L138">
        <v>1314021.3700000001</v>
      </c>
      <c r="M138" s="2" t="s">
        <v>19</v>
      </c>
      <c r="N138">
        <v>5.2081458613099274</v>
      </c>
      <c r="O138">
        <v>15.339473684210526</v>
      </c>
      <c r="P138">
        <v>15.683147262094629</v>
      </c>
      <c r="Q138">
        <v>313.62554347826085</v>
      </c>
      <c r="R138">
        <v>22.770532048915992</v>
      </c>
    </row>
    <row r="139" spans="1:18" x14ac:dyDescent="0.25">
      <c r="A139" s="1">
        <v>45398</v>
      </c>
      <c r="B139" s="2" t="s">
        <v>24</v>
      </c>
      <c r="C139" s="2" t="s">
        <v>25</v>
      </c>
      <c r="D139" s="2" t="s">
        <v>26</v>
      </c>
      <c r="E139" s="2" t="s">
        <v>38</v>
      </c>
      <c r="F139">
        <v>167205</v>
      </c>
      <c r="G139">
        <v>5074</v>
      </c>
      <c r="H139">
        <v>1208</v>
      </c>
      <c r="I139">
        <v>604</v>
      </c>
      <c r="J139">
        <v>322</v>
      </c>
      <c r="K139">
        <v>115667.4</v>
      </c>
      <c r="L139">
        <v>2387204.39</v>
      </c>
      <c r="M139" s="2" t="s">
        <v>19</v>
      </c>
      <c r="N139">
        <v>3.0345982476600577</v>
      </c>
      <c r="O139">
        <v>22.796097753251871</v>
      </c>
      <c r="P139">
        <v>23.807646826960976</v>
      </c>
      <c r="Q139">
        <v>359.21552795031056</v>
      </c>
      <c r="R139">
        <v>20.638523819157346</v>
      </c>
    </row>
    <row r="140" spans="1:18" x14ac:dyDescent="0.25">
      <c r="A140" s="1">
        <v>45399</v>
      </c>
      <c r="B140" s="2" t="s">
        <v>24</v>
      </c>
      <c r="C140" s="2" t="s">
        <v>25</v>
      </c>
      <c r="D140" s="2" t="s">
        <v>26</v>
      </c>
      <c r="E140" s="2" t="s">
        <v>38</v>
      </c>
      <c r="F140">
        <v>234584</v>
      </c>
      <c r="G140">
        <v>15677</v>
      </c>
      <c r="H140">
        <v>3010</v>
      </c>
      <c r="I140">
        <v>1913</v>
      </c>
      <c r="J140">
        <v>842</v>
      </c>
      <c r="K140">
        <v>190234.63</v>
      </c>
      <c r="L140">
        <v>4025666.51</v>
      </c>
      <c r="M140" s="2" t="s">
        <v>19</v>
      </c>
      <c r="N140">
        <v>6.6828939740135738</v>
      </c>
      <c r="O140">
        <v>12.134632263825987</v>
      </c>
      <c r="P140">
        <v>19.200102060343177</v>
      </c>
      <c r="Q140">
        <v>225.93186460807601</v>
      </c>
      <c r="R140">
        <v>21.16158614233381</v>
      </c>
    </row>
    <row r="141" spans="1:18" x14ac:dyDescent="0.25">
      <c r="A141" s="1">
        <v>45400</v>
      </c>
      <c r="B141" s="2" t="s">
        <v>24</v>
      </c>
      <c r="C141" s="2" t="s">
        <v>25</v>
      </c>
      <c r="D141" s="2" t="s">
        <v>26</v>
      </c>
      <c r="E141" s="2" t="s">
        <v>38</v>
      </c>
      <c r="F141">
        <v>50267</v>
      </c>
      <c r="G141">
        <v>3518</v>
      </c>
      <c r="H141">
        <v>817</v>
      </c>
      <c r="I141">
        <v>515</v>
      </c>
      <c r="J141">
        <v>226</v>
      </c>
      <c r="K141">
        <v>39781.589999999997</v>
      </c>
      <c r="L141">
        <v>893338.11</v>
      </c>
      <c r="M141" s="2" t="s">
        <v>19</v>
      </c>
      <c r="N141">
        <v>6.9986273300574924</v>
      </c>
      <c r="O141">
        <v>11.308013075611141</v>
      </c>
      <c r="P141">
        <v>23.223422399090392</v>
      </c>
      <c r="Q141">
        <v>176.02473451327432</v>
      </c>
      <c r="R141">
        <v>22.456068498016297</v>
      </c>
    </row>
    <row r="142" spans="1:18" x14ac:dyDescent="0.25">
      <c r="A142" s="1">
        <v>45401</v>
      </c>
      <c r="B142" s="2" t="s">
        <v>24</v>
      </c>
      <c r="C142" s="2" t="s">
        <v>25</v>
      </c>
      <c r="D142" s="2" t="s">
        <v>26</v>
      </c>
      <c r="E142" s="2" t="s">
        <v>38</v>
      </c>
      <c r="F142">
        <v>147737</v>
      </c>
      <c r="G142">
        <v>9789</v>
      </c>
      <c r="H142">
        <v>2427</v>
      </c>
      <c r="I142">
        <v>1461</v>
      </c>
      <c r="J142">
        <v>710</v>
      </c>
      <c r="K142">
        <v>115882.02</v>
      </c>
      <c r="L142">
        <v>4999994.7699999996</v>
      </c>
      <c r="M142" s="2" t="s">
        <v>23</v>
      </c>
      <c r="N142">
        <v>6.62596370577445</v>
      </c>
      <c r="O142">
        <v>11.837983450812137</v>
      </c>
      <c r="P142">
        <v>24.793135151700888</v>
      </c>
      <c r="Q142">
        <v>163.21411267605635</v>
      </c>
      <c r="R142">
        <v>43.14728695616455</v>
      </c>
    </row>
    <row r="143" spans="1:18" x14ac:dyDescent="0.25">
      <c r="A143" s="1">
        <v>45402</v>
      </c>
      <c r="B143" s="2" t="s">
        <v>24</v>
      </c>
      <c r="C143" s="2" t="s">
        <v>25</v>
      </c>
      <c r="D143" s="2" t="s">
        <v>26</v>
      </c>
      <c r="E143" s="2" t="s">
        <v>38</v>
      </c>
      <c r="F143">
        <v>103945</v>
      </c>
      <c r="G143">
        <v>5827</v>
      </c>
      <c r="H143">
        <v>1089</v>
      </c>
      <c r="I143">
        <v>686</v>
      </c>
      <c r="J143">
        <v>290</v>
      </c>
      <c r="K143">
        <v>45623.839999999997</v>
      </c>
      <c r="L143">
        <v>1291459.42</v>
      </c>
      <c r="M143" s="2" t="s">
        <v>23</v>
      </c>
      <c r="N143">
        <v>5.6058492471980372</v>
      </c>
      <c r="O143">
        <v>7.8297305646130075</v>
      </c>
      <c r="P143">
        <v>18.688862193238371</v>
      </c>
      <c r="Q143">
        <v>157.32358620689655</v>
      </c>
      <c r="R143">
        <v>28.306679578045163</v>
      </c>
    </row>
    <row r="144" spans="1:18" x14ac:dyDescent="0.25">
      <c r="A144" s="1">
        <v>45403</v>
      </c>
      <c r="B144" s="2" t="s">
        <v>24</v>
      </c>
      <c r="C144" s="2" t="s">
        <v>25</v>
      </c>
      <c r="D144" s="2" t="s">
        <v>26</v>
      </c>
      <c r="E144" s="2" t="s">
        <v>38</v>
      </c>
      <c r="F144">
        <v>180309</v>
      </c>
      <c r="G144">
        <v>13125</v>
      </c>
      <c r="H144">
        <v>2445</v>
      </c>
      <c r="I144">
        <v>1328</v>
      </c>
      <c r="J144">
        <v>595</v>
      </c>
      <c r="K144">
        <v>107078.07</v>
      </c>
      <c r="L144">
        <v>4718406.5599999996</v>
      </c>
      <c r="M144" s="2" t="s">
        <v>23</v>
      </c>
      <c r="N144">
        <v>7.2791707568673774</v>
      </c>
      <c r="O144">
        <v>8.1583291428571432</v>
      </c>
      <c r="P144">
        <v>18.628571428571426</v>
      </c>
      <c r="Q144">
        <v>179.96314285714286</v>
      </c>
      <c r="R144">
        <v>44.065106515274316</v>
      </c>
    </row>
    <row r="145" spans="1:18" x14ac:dyDescent="0.25">
      <c r="A145" s="1">
        <v>45404</v>
      </c>
      <c r="B145" s="2" t="s">
        <v>24</v>
      </c>
      <c r="C145" s="2" t="s">
        <v>25</v>
      </c>
      <c r="D145" s="2" t="s">
        <v>26</v>
      </c>
      <c r="E145" s="2" t="s">
        <v>38</v>
      </c>
      <c r="F145">
        <v>165998</v>
      </c>
      <c r="G145">
        <v>7203</v>
      </c>
      <c r="H145">
        <v>1295</v>
      </c>
      <c r="I145">
        <v>834</v>
      </c>
      <c r="J145">
        <v>489</v>
      </c>
      <c r="K145">
        <v>155076.26999999999</v>
      </c>
      <c r="L145">
        <v>3804206.8</v>
      </c>
      <c r="M145" s="2" t="s">
        <v>23</v>
      </c>
      <c r="N145">
        <v>4.3392089061313994</v>
      </c>
      <c r="O145">
        <v>21.529400249895875</v>
      </c>
      <c r="P145">
        <v>17.978620019436345</v>
      </c>
      <c r="Q145">
        <v>317.12938650306745</v>
      </c>
      <c r="R145">
        <v>24.531198744978841</v>
      </c>
    </row>
    <row r="146" spans="1:18" x14ac:dyDescent="0.25">
      <c r="A146" s="1">
        <v>45405</v>
      </c>
      <c r="B146" s="2" t="s">
        <v>24</v>
      </c>
      <c r="C146" s="2" t="s">
        <v>25</v>
      </c>
      <c r="D146" s="2" t="s">
        <v>26</v>
      </c>
      <c r="E146" s="2" t="s">
        <v>38</v>
      </c>
      <c r="F146">
        <v>204547</v>
      </c>
      <c r="G146">
        <v>9363</v>
      </c>
      <c r="H146">
        <v>1756</v>
      </c>
      <c r="I146">
        <v>1126</v>
      </c>
      <c r="J146">
        <v>509</v>
      </c>
      <c r="K146">
        <v>150706.37</v>
      </c>
      <c r="L146">
        <v>2219931.4900000002</v>
      </c>
      <c r="M146" s="2" t="s">
        <v>22</v>
      </c>
      <c r="N146">
        <v>4.5774320816242717</v>
      </c>
      <c r="O146">
        <v>16.095948947986756</v>
      </c>
      <c r="P146">
        <v>18.754672647655664</v>
      </c>
      <c r="Q146">
        <v>296.08324165029467</v>
      </c>
      <c r="R146">
        <v>14.730176899622759</v>
      </c>
    </row>
    <row r="147" spans="1:18" x14ac:dyDescent="0.25">
      <c r="A147" s="1">
        <v>45406</v>
      </c>
      <c r="B147" s="2" t="s">
        <v>24</v>
      </c>
      <c r="C147" s="2" t="s">
        <v>25</v>
      </c>
      <c r="D147" s="2" t="s">
        <v>26</v>
      </c>
      <c r="E147" s="2" t="s">
        <v>38</v>
      </c>
      <c r="F147">
        <v>124784</v>
      </c>
      <c r="G147">
        <v>7174</v>
      </c>
      <c r="H147">
        <v>1288</v>
      </c>
      <c r="I147">
        <v>783</v>
      </c>
      <c r="J147">
        <v>351</v>
      </c>
      <c r="K147">
        <v>103744.92</v>
      </c>
      <c r="L147">
        <v>1765941.04</v>
      </c>
      <c r="M147" s="2" t="s">
        <v>22</v>
      </c>
      <c r="N147">
        <v>5.7491345044236439</v>
      </c>
      <c r="O147">
        <v>14.461237803178143</v>
      </c>
      <c r="P147">
        <v>17.953721773069418</v>
      </c>
      <c r="Q147">
        <v>295.56957264957265</v>
      </c>
      <c r="R147">
        <v>17.021951918224044</v>
      </c>
    </row>
    <row r="148" spans="1:18" x14ac:dyDescent="0.25">
      <c r="A148" s="1">
        <v>45407</v>
      </c>
      <c r="B148" s="2" t="s">
        <v>24</v>
      </c>
      <c r="C148" s="2" t="s">
        <v>25</v>
      </c>
      <c r="D148" s="2" t="s">
        <v>26</v>
      </c>
      <c r="E148" s="2" t="s">
        <v>38</v>
      </c>
      <c r="F148">
        <v>132967</v>
      </c>
      <c r="G148">
        <v>10361</v>
      </c>
      <c r="H148">
        <v>1745</v>
      </c>
      <c r="I148">
        <v>990</v>
      </c>
      <c r="J148">
        <v>467</v>
      </c>
      <c r="K148">
        <v>65512.99</v>
      </c>
      <c r="L148">
        <v>1832026.4</v>
      </c>
      <c r="M148" s="2" t="s">
        <v>22</v>
      </c>
      <c r="N148">
        <v>7.7921589567336262</v>
      </c>
      <c r="O148">
        <v>6.3230373516069873</v>
      </c>
      <c r="P148">
        <v>16.842003667599652</v>
      </c>
      <c r="Q148">
        <v>140.28477516059957</v>
      </c>
      <c r="R148">
        <v>27.96432280071479</v>
      </c>
    </row>
    <row r="149" spans="1:18" x14ac:dyDescent="0.25">
      <c r="A149" s="1">
        <v>45408</v>
      </c>
      <c r="B149" s="2" t="s">
        <v>24</v>
      </c>
      <c r="C149" s="2" t="s">
        <v>25</v>
      </c>
      <c r="D149" s="2" t="s">
        <v>26</v>
      </c>
      <c r="E149" s="2" t="s">
        <v>38</v>
      </c>
      <c r="F149">
        <v>260506</v>
      </c>
      <c r="G149">
        <v>13356</v>
      </c>
      <c r="H149">
        <v>3163</v>
      </c>
      <c r="I149">
        <v>1998</v>
      </c>
      <c r="J149">
        <v>854</v>
      </c>
      <c r="K149">
        <v>256268.15</v>
      </c>
      <c r="L149">
        <v>4686283.68</v>
      </c>
      <c r="M149" s="2" t="s">
        <v>19</v>
      </c>
      <c r="N149">
        <v>5.126945252700513</v>
      </c>
      <c r="O149">
        <v>19.187492512728362</v>
      </c>
      <c r="P149">
        <v>23.682240191674154</v>
      </c>
      <c r="Q149">
        <v>300.07980093676815</v>
      </c>
      <c r="R149">
        <v>18.286641082787696</v>
      </c>
    </row>
    <row r="150" spans="1:18" x14ac:dyDescent="0.25">
      <c r="A150" s="1">
        <v>45409</v>
      </c>
      <c r="B150" s="2" t="s">
        <v>24</v>
      </c>
      <c r="C150" s="2" t="s">
        <v>25</v>
      </c>
      <c r="D150" s="2" t="s">
        <v>26</v>
      </c>
      <c r="E150" s="2" t="s">
        <v>38</v>
      </c>
      <c r="F150">
        <v>229208</v>
      </c>
      <c r="G150">
        <v>9355</v>
      </c>
      <c r="H150">
        <v>2081</v>
      </c>
      <c r="I150">
        <v>1043</v>
      </c>
      <c r="J150">
        <v>469</v>
      </c>
      <c r="K150">
        <v>178259.19</v>
      </c>
      <c r="L150">
        <v>2674523.87</v>
      </c>
      <c r="M150" s="2" t="s">
        <v>22</v>
      </c>
      <c r="N150">
        <v>4.0814456737984717</v>
      </c>
      <c r="O150">
        <v>19.054964190272582</v>
      </c>
      <c r="P150">
        <v>22.244788882950296</v>
      </c>
      <c r="Q150">
        <v>380.0835607675906</v>
      </c>
      <c r="R150">
        <v>15.003567950690229</v>
      </c>
    </row>
    <row r="151" spans="1:18" x14ac:dyDescent="0.25">
      <c r="A151" s="1">
        <v>45410</v>
      </c>
      <c r="B151" s="2" t="s">
        <v>24</v>
      </c>
      <c r="C151" s="2" t="s">
        <v>25</v>
      </c>
      <c r="D151" s="2" t="s">
        <v>26</v>
      </c>
      <c r="E151" s="2" t="s">
        <v>38</v>
      </c>
      <c r="F151">
        <v>171241</v>
      </c>
      <c r="G151">
        <v>7348</v>
      </c>
      <c r="H151">
        <v>1294</v>
      </c>
      <c r="I151">
        <v>719</v>
      </c>
      <c r="J151">
        <v>302</v>
      </c>
      <c r="K151">
        <v>85665.34</v>
      </c>
      <c r="L151">
        <v>1939708.81</v>
      </c>
      <c r="M151" s="2" t="s">
        <v>19</v>
      </c>
      <c r="N151">
        <v>4.2910284336111095</v>
      </c>
      <c r="O151">
        <v>11.658320631464344</v>
      </c>
      <c r="P151">
        <v>17.610234077299946</v>
      </c>
      <c r="Q151">
        <v>283.66006622516556</v>
      </c>
      <c r="R151">
        <v>22.64286594788511</v>
      </c>
    </row>
    <row r="152" spans="1:18" x14ac:dyDescent="0.25">
      <c r="A152" s="1">
        <v>45411</v>
      </c>
      <c r="B152" s="2" t="s">
        <v>24</v>
      </c>
      <c r="C152" s="2" t="s">
        <v>25</v>
      </c>
      <c r="D152" s="2" t="s">
        <v>26</v>
      </c>
      <c r="E152" s="2" t="s">
        <v>38</v>
      </c>
      <c r="F152">
        <v>161956</v>
      </c>
      <c r="G152">
        <v>10797</v>
      </c>
      <c r="H152">
        <v>1786</v>
      </c>
      <c r="I152">
        <v>1036</v>
      </c>
      <c r="J152">
        <v>542</v>
      </c>
      <c r="K152">
        <v>150183.85999999999</v>
      </c>
      <c r="L152">
        <v>2235498.12</v>
      </c>
      <c r="M152" s="2" t="s">
        <v>21</v>
      </c>
      <c r="N152">
        <v>6.6666255032230977</v>
      </c>
      <c r="O152">
        <v>13.909776789849031</v>
      </c>
      <c r="P152">
        <v>16.541631934796701</v>
      </c>
      <c r="Q152">
        <v>277.09199261992615</v>
      </c>
      <c r="R152">
        <v>14.885075666586278</v>
      </c>
    </row>
    <row r="153" spans="1:18" x14ac:dyDescent="0.25">
      <c r="A153" s="1">
        <v>45412</v>
      </c>
      <c r="B153" s="2" t="s">
        <v>24</v>
      </c>
      <c r="C153" s="2" t="s">
        <v>25</v>
      </c>
      <c r="D153" s="2" t="s">
        <v>26</v>
      </c>
      <c r="E153" s="2" t="s">
        <v>38</v>
      </c>
      <c r="F153">
        <v>61492</v>
      </c>
      <c r="G153">
        <v>4436</v>
      </c>
      <c r="H153">
        <v>909</v>
      </c>
      <c r="I153">
        <v>457</v>
      </c>
      <c r="J153">
        <v>244</v>
      </c>
      <c r="K153">
        <v>50083.82</v>
      </c>
      <c r="L153">
        <v>751942.31</v>
      </c>
      <c r="M153" s="2" t="s">
        <v>19</v>
      </c>
      <c r="N153">
        <v>7.2139465296298706</v>
      </c>
      <c r="O153">
        <v>11.290311091073038</v>
      </c>
      <c r="P153">
        <v>20.491433724075744</v>
      </c>
      <c r="Q153">
        <v>205.26155737704917</v>
      </c>
      <c r="R153">
        <v>15.013677271422189</v>
      </c>
    </row>
    <row r="154" spans="1:18" x14ac:dyDescent="0.25">
      <c r="A154" s="1">
        <v>45413</v>
      </c>
      <c r="B154" s="2" t="s">
        <v>24</v>
      </c>
      <c r="C154" s="2" t="s">
        <v>25</v>
      </c>
      <c r="D154" s="2" t="s">
        <v>26</v>
      </c>
      <c r="E154" s="2" t="s">
        <v>38</v>
      </c>
      <c r="F154">
        <v>203882</v>
      </c>
      <c r="G154">
        <v>9925</v>
      </c>
      <c r="H154">
        <v>2110</v>
      </c>
      <c r="I154">
        <v>963</v>
      </c>
      <c r="J154">
        <v>504</v>
      </c>
      <c r="K154">
        <v>181726.55</v>
      </c>
      <c r="L154">
        <v>3279195.9</v>
      </c>
      <c r="M154" s="2" t="s">
        <v>23</v>
      </c>
      <c r="N154">
        <v>4.8680118892300452</v>
      </c>
      <c r="O154">
        <v>18.309979848866497</v>
      </c>
      <c r="P154">
        <v>21.259445843828715</v>
      </c>
      <c r="Q154">
        <v>360.56855158730156</v>
      </c>
      <c r="R154">
        <v>18.04467151332593</v>
      </c>
    </row>
    <row r="155" spans="1:18" x14ac:dyDescent="0.25">
      <c r="A155" s="1">
        <v>45414</v>
      </c>
      <c r="B155" s="2" t="s">
        <v>24</v>
      </c>
      <c r="C155" s="2" t="s">
        <v>25</v>
      </c>
      <c r="D155" s="2" t="s">
        <v>26</v>
      </c>
      <c r="E155" s="2" t="s">
        <v>38</v>
      </c>
      <c r="F155">
        <v>52572</v>
      </c>
      <c r="G155">
        <v>2746</v>
      </c>
      <c r="H155">
        <v>633</v>
      </c>
      <c r="I155">
        <v>286</v>
      </c>
      <c r="J155">
        <v>115</v>
      </c>
      <c r="K155">
        <v>31495.18</v>
      </c>
      <c r="L155">
        <v>721471.98</v>
      </c>
      <c r="M155" s="2" t="s">
        <v>19</v>
      </c>
      <c r="N155">
        <v>5.2233127900783689</v>
      </c>
      <c r="O155">
        <v>11.469475600873999</v>
      </c>
      <c r="P155">
        <v>23.051711580480699</v>
      </c>
      <c r="Q155">
        <v>273.87113043478263</v>
      </c>
      <c r="R155">
        <v>22.907377573330269</v>
      </c>
    </row>
    <row r="156" spans="1:18" x14ac:dyDescent="0.25">
      <c r="A156" s="1">
        <v>45415</v>
      </c>
      <c r="B156" s="2" t="s">
        <v>24</v>
      </c>
      <c r="C156" s="2" t="s">
        <v>25</v>
      </c>
      <c r="D156" s="2" t="s">
        <v>26</v>
      </c>
      <c r="E156" s="2" t="s">
        <v>38</v>
      </c>
      <c r="F156">
        <v>182398</v>
      </c>
      <c r="G156">
        <v>9821</v>
      </c>
      <c r="H156">
        <v>2358</v>
      </c>
      <c r="I156">
        <v>1144</v>
      </c>
      <c r="J156">
        <v>659</v>
      </c>
      <c r="K156">
        <v>117138.56</v>
      </c>
      <c r="L156">
        <v>4142036.47</v>
      </c>
      <c r="M156" s="2" t="s">
        <v>22</v>
      </c>
      <c r="N156">
        <v>5.3843792146843716</v>
      </c>
      <c r="O156">
        <v>11.927355666429081</v>
      </c>
      <c r="P156">
        <v>24.00977497199878</v>
      </c>
      <c r="Q156">
        <v>177.75198786039454</v>
      </c>
      <c r="R156">
        <v>35.36014502824689</v>
      </c>
    </row>
    <row r="157" spans="1:18" x14ac:dyDescent="0.25">
      <c r="A157" s="1">
        <v>45416</v>
      </c>
      <c r="B157" s="2" t="s">
        <v>24</v>
      </c>
      <c r="C157" s="2" t="s">
        <v>25</v>
      </c>
      <c r="D157" s="2" t="s">
        <v>26</v>
      </c>
      <c r="E157" s="2" t="s">
        <v>38</v>
      </c>
      <c r="F157">
        <v>291292</v>
      </c>
      <c r="G157">
        <v>19445</v>
      </c>
      <c r="H157">
        <v>3115</v>
      </c>
      <c r="I157">
        <v>1736</v>
      </c>
      <c r="J157">
        <v>1028</v>
      </c>
      <c r="K157">
        <v>264152.71999999997</v>
      </c>
      <c r="L157">
        <v>6279650.6100000003</v>
      </c>
      <c r="M157" s="2" t="s">
        <v>23</v>
      </c>
      <c r="N157">
        <v>6.6754322123504934</v>
      </c>
      <c r="O157">
        <v>13.584608896888659</v>
      </c>
      <c r="P157">
        <v>16.019542298791464</v>
      </c>
      <c r="Q157">
        <v>256.9578988326848</v>
      </c>
      <c r="R157">
        <v>23.772803134489781</v>
      </c>
    </row>
    <row r="158" spans="1:18" x14ac:dyDescent="0.25">
      <c r="A158" s="1">
        <v>45417</v>
      </c>
      <c r="B158" s="2" t="s">
        <v>24</v>
      </c>
      <c r="C158" s="2" t="s">
        <v>25</v>
      </c>
      <c r="D158" s="2" t="s">
        <v>26</v>
      </c>
      <c r="E158" s="2" t="s">
        <v>38</v>
      </c>
      <c r="F158">
        <v>209896</v>
      </c>
      <c r="G158">
        <v>11020</v>
      </c>
      <c r="H158">
        <v>2016</v>
      </c>
      <c r="I158">
        <v>1282</v>
      </c>
      <c r="J158">
        <v>676</v>
      </c>
      <c r="K158">
        <v>134786.32</v>
      </c>
      <c r="L158">
        <v>5166291.92</v>
      </c>
      <c r="M158" s="2" t="s">
        <v>19</v>
      </c>
      <c r="N158">
        <v>5.2502191561535234</v>
      </c>
      <c r="O158">
        <v>12.231063520871144</v>
      </c>
      <c r="P158">
        <v>18.294010889292196</v>
      </c>
      <c r="Q158">
        <v>199.38804733727812</v>
      </c>
      <c r="R158">
        <v>38.329497533577587</v>
      </c>
    </row>
    <row r="159" spans="1:18" x14ac:dyDescent="0.25">
      <c r="A159" s="1">
        <v>45418</v>
      </c>
      <c r="B159" s="2" t="s">
        <v>24</v>
      </c>
      <c r="C159" s="2" t="s">
        <v>25</v>
      </c>
      <c r="D159" s="2" t="s">
        <v>26</v>
      </c>
      <c r="E159" s="2" t="s">
        <v>38</v>
      </c>
      <c r="F159">
        <v>212729</v>
      </c>
      <c r="G159">
        <v>11086</v>
      </c>
      <c r="H159">
        <v>2540</v>
      </c>
      <c r="I159">
        <v>1442</v>
      </c>
      <c r="J159">
        <v>785</v>
      </c>
      <c r="K159">
        <v>148219.13</v>
      </c>
      <c r="L159">
        <v>2403528.2200000002</v>
      </c>
      <c r="M159" s="2" t="s">
        <v>22</v>
      </c>
      <c r="N159">
        <v>5.211325207188489</v>
      </c>
      <c r="O159">
        <v>13.3699377593361</v>
      </c>
      <c r="P159">
        <v>22.911780624210717</v>
      </c>
      <c r="Q159">
        <v>188.81417834394904</v>
      </c>
      <c r="R159">
        <v>16.216045931452978</v>
      </c>
    </row>
    <row r="160" spans="1:18" x14ac:dyDescent="0.25">
      <c r="A160" s="1">
        <v>45419</v>
      </c>
      <c r="B160" s="2" t="s">
        <v>24</v>
      </c>
      <c r="C160" s="2" t="s">
        <v>25</v>
      </c>
      <c r="D160" s="2" t="s">
        <v>26</v>
      </c>
      <c r="E160" s="2" t="s">
        <v>38</v>
      </c>
      <c r="F160">
        <v>53575</v>
      </c>
      <c r="G160">
        <v>1779</v>
      </c>
      <c r="H160">
        <v>383</v>
      </c>
      <c r="I160">
        <v>198</v>
      </c>
      <c r="J160">
        <v>83</v>
      </c>
      <c r="K160">
        <v>31495.13</v>
      </c>
      <c r="L160">
        <v>562987.04</v>
      </c>
      <c r="M160" s="2" t="s">
        <v>23</v>
      </c>
      <c r="N160">
        <v>3.3205786280914604</v>
      </c>
      <c r="O160">
        <v>17.703839235525578</v>
      </c>
      <c r="P160">
        <v>21.52894884766723</v>
      </c>
      <c r="Q160">
        <v>379.45939759036145</v>
      </c>
      <c r="R160">
        <v>17.875368033089561</v>
      </c>
    </row>
    <row r="161" spans="1:18" x14ac:dyDescent="0.25">
      <c r="A161" s="1">
        <v>45420</v>
      </c>
      <c r="B161" s="2" t="s">
        <v>24</v>
      </c>
      <c r="C161" s="2" t="s">
        <v>25</v>
      </c>
      <c r="D161" s="2" t="s">
        <v>26</v>
      </c>
      <c r="E161" s="2" t="s">
        <v>38</v>
      </c>
      <c r="F161">
        <v>77717</v>
      </c>
      <c r="G161">
        <v>5458</v>
      </c>
      <c r="H161">
        <v>1240</v>
      </c>
      <c r="I161">
        <v>600</v>
      </c>
      <c r="J161">
        <v>252</v>
      </c>
      <c r="K161">
        <v>39733.879999999997</v>
      </c>
      <c r="L161">
        <v>1374432.65</v>
      </c>
      <c r="M161" s="2" t="s">
        <v>20</v>
      </c>
      <c r="N161">
        <v>7.0229164790200347</v>
      </c>
      <c r="O161">
        <v>7.2799340417735428</v>
      </c>
      <c r="P161">
        <v>22.718944668376693</v>
      </c>
      <c r="Q161">
        <v>157.67412698412699</v>
      </c>
      <c r="R161">
        <v>34.590949839280732</v>
      </c>
    </row>
    <row r="162" spans="1:18" x14ac:dyDescent="0.25">
      <c r="A162" s="1">
        <v>45421</v>
      </c>
      <c r="B162" s="2" t="s">
        <v>24</v>
      </c>
      <c r="C162" s="2" t="s">
        <v>25</v>
      </c>
      <c r="D162" s="2" t="s">
        <v>26</v>
      </c>
      <c r="E162" s="2" t="s">
        <v>38</v>
      </c>
      <c r="F162">
        <v>254812</v>
      </c>
      <c r="G162">
        <v>8231</v>
      </c>
      <c r="H162">
        <v>1789</v>
      </c>
      <c r="I162">
        <v>905</v>
      </c>
      <c r="J162">
        <v>508</v>
      </c>
      <c r="K162">
        <v>214463</v>
      </c>
      <c r="L162">
        <v>3712872.07</v>
      </c>
      <c r="M162" s="2" t="s">
        <v>22</v>
      </c>
      <c r="N162">
        <v>3.2302246362023763</v>
      </c>
      <c r="O162">
        <v>26.055521807799781</v>
      </c>
      <c r="P162">
        <v>21.734904628842184</v>
      </c>
      <c r="Q162">
        <v>422.1712598425197</v>
      </c>
      <c r="R162">
        <v>17.312413190154011</v>
      </c>
    </row>
    <row r="163" spans="1:18" x14ac:dyDescent="0.25">
      <c r="A163" s="1">
        <v>45422</v>
      </c>
      <c r="B163" s="2" t="s">
        <v>24</v>
      </c>
      <c r="C163" s="2" t="s">
        <v>25</v>
      </c>
      <c r="D163" s="2" t="s">
        <v>26</v>
      </c>
      <c r="E163" s="2" t="s">
        <v>38</v>
      </c>
      <c r="F163">
        <v>159338</v>
      </c>
      <c r="G163">
        <v>8621</v>
      </c>
      <c r="H163">
        <v>1987</v>
      </c>
      <c r="I163">
        <v>1010</v>
      </c>
      <c r="J163">
        <v>560</v>
      </c>
      <c r="K163">
        <v>121166.88</v>
      </c>
      <c r="L163">
        <v>2837406.55</v>
      </c>
      <c r="M163" s="2" t="s">
        <v>22</v>
      </c>
      <c r="N163">
        <v>5.4105109892178893</v>
      </c>
      <c r="O163">
        <v>14.054852105324208</v>
      </c>
      <c r="P163">
        <v>23.04837025867069</v>
      </c>
      <c r="Q163">
        <v>216.36942857142859</v>
      </c>
      <c r="R163">
        <v>23.417344327096643</v>
      </c>
    </row>
    <row r="164" spans="1:18" x14ac:dyDescent="0.25">
      <c r="A164" s="1">
        <v>45423</v>
      </c>
      <c r="B164" s="2" t="s">
        <v>24</v>
      </c>
      <c r="C164" s="2" t="s">
        <v>25</v>
      </c>
      <c r="D164" s="2" t="s">
        <v>26</v>
      </c>
      <c r="E164" s="2" t="s">
        <v>38</v>
      </c>
      <c r="F164">
        <v>107691</v>
      </c>
      <c r="G164">
        <v>5395</v>
      </c>
      <c r="H164">
        <v>912</v>
      </c>
      <c r="I164">
        <v>434</v>
      </c>
      <c r="J164">
        <v>235</v>
      </c>
      <c r="K164">
        <v>50972.7</v>
      </c>
      <c r="L164">
        <v>1299358.1000000001</v>
      </c>
      <c r="M164" s="2" t="s">
        <v>20</v>
      </c>
      <c r="N164">
        <v>5.0097036892590836</v>
      </c>
      <c r="O164">
        <v>9.4481371640407783</v>
      </c>
      <c r="P164">
        <v>16.904541241890637</v>
      </c>
      <c r="Q164">
        <v>216.90510638297872</v>
      </c>
      <c r="R164">
        <v>25.491255122840268</v>
      </c>
    </row>
    <row r="165" spans="1:18" x14ac:dyDescent="0.25">
      <c r="A165" s="1">
        <v>45424</v>
      </c>
      <c r="B165" s="2" t="s">
        <v>24</v>
      </c>
      <c r="C165" s="2" t="s">
        <v>25</v>
      </c>
      <c r="D165" s="2" t="s">
        <v>26</v>
      </c>
      <c r="E165" s="2" t="s">
        <v>38</v>
      </c>
      <c r="F165">
        <v>150217</v>
      </c>
      <c r="G165">
        <v>9087</v>
      </c>
      <c r="H165">
        <v>1717</v>
      </c>
      <c r="I165">
        <v>921</v>
      </c>
      <c r="J165">
        <v>420</v>
      </c>
      <c r="K165">
        <v>84200.07</v>
      </c>
      <c r="L165">
        <v>2218829.9500000002</v>
      </c>
      <c r="M165" s="2" t="s">
        <v>20</v>
      </c>
      <c r="N165">
        <v>6.0492487534699801</v>
      </c>
      <c r="O165">
        <v>9.2659920765929353</v>
      </c>
      <c r="P165">
        <v>18.895124903708592</v>
      </c>
      <c r="Q165">
        <v>200.47635714285715</v>
      </c>
      <c r="R165">
        <v>26.351877735968628</v>
      </c>
    </row>
    <row r="166" spans="1:18" x14ac:dyDescent="0.25">
      <c r="A166" s="1">
        <v>45425</v>
      </c>
      <c r="B166" s="2" t="s">
        <v>24</v>
      </c>
      <c r="C166" s="2" t="s">
        <v>25</v>
      </c>
      <c r="D166" s="2" t="s">
        <v>26</v>
      </c>
      <c r="E166" s="2" t="s">
        <v>38</v>
      </c>
      <c r="F166">
        <v>227093</v>
      </c>
      <c r="G166">
        <v>11820</v>
      </c>
      <c r="H166">
        <v>2504</v>
      </c>
      <c r="I166">
        <v>1225</v>
      </c>
      <c r="J166">
        <v>522</v>
      </c>
      <c r="K166">
        <v>192460.38</v>
      </c>
      <c r="L166">
        <v>2362547.8199999998</v>
      </c>
      <c r="M166" s="2" t="s">
        <v>20</v>
      </c>
      <c r="N166">
        <v>5.2049160476104497</v>
      </c>
      <c r="O166">
        <v>16.282604060913705</v>
      </c>
      <c r="P166">
        <v>21.184433164128595</v>
      </c>
      <c r="Q166">
        <v>368.69804597701147</v>
      </c>
      <c r="R166">
        <v>12.275502209857425</v>
      </c>
    </row>
    <row r="167" spans="1:18" x14ac:dyDescent="0.25">
      <c r="A167" s="1">
        <v>45426</v>
      </c>
      <c r="B167" s="2" t="s">
        <v>24</v>
      </c>
      <c r="C167" s="2" t="s">
        <v>25</v>
      </c>
      <c r="D167" s="2" t="s">
        <v>26</v>
      </c>
      <c r="E167" s="2" t="s">
        <v>38</v>
      </c>
      <c r="F167">
        <v>212823</v>
      </c>
      <c r="G167">
        <v>12602</v>
      </c>
      <c r="H167">
        <v>1904</v>
      </c>
      <c r="I167">
        <v>1005</v>
      </c>
      <c r="J167">
        <v>425</v>
      </c>
      <c r="K167">
        <v>107267.35</v>
      </c>
      <c r="L167">
        <v>1912334.83</v>
      </c>
      <c r="M167" s="2" t="s">
        <v>19</v>
      </c>
      <c r="N167">
        <v>5.921352485398665</v>
      </c>
      <c r="O167">
        <v>8.5119306459292172</v>
      </c>
      <c r="P167">
        <v>15.108712902713856</v>
      </c>
      <c r="Q167">
        <v>252.39376470588238</v>
      </c>
      <c r="R167">
        <v>17.827743763596285</v>
      </c>
    </row>
    <row r="168" spans="1:18" x14ac:dyDescent="0.25">
      <c r="A168" s="1">
        <v>45427</v>
      </c>
      <c r="B168" s="2" t="s">
        <v>24</v>
      </c>
      <c r="C168" s="2" t="s">
        <v>25</v>
      </c>
      <c r="D168" s="2" t="s">
        <v>26</v>
      </c>
      <c r="E168" s="2" t="s">
        <v>38</v>
      </c>
      <c r="F168">
        <v>129087</v>
      </c>
      <c r="G168">
        <v>4033</v>
      </c>
      <c r="H168">
        <v>640</v>
      </c>
      <c r="I168">
        <v>346</v>
      </c>
      <c r="J168">
        <v>198</v>
      </c>
      <c r="K168">
        <v>101205.53</v>
      </c>
      <c r="L168">
        <v>1581964.16</v>
      </c>
      <c r="M168" s="2" t="s">
        <v>19</v>
      </c>
      <c r="N168">
        <v>3.124249537133871</v>
      </c>
      <c r="O168">
        <v>25.094354078849491</v>
      </c>
      <c r="P168">
        <v>15.869080089263576</v>
      </c>
      <c r="Q168">
        <v>511.13904040404037</v>
      </c>
      <c r="R168">
        <v>15.631202761351084</v>
      </c>
    </row>
    <row r="169" spans="1:18" x14ac:dyDescent="0.25">
      <c r="A169" s="1">
        <v>45428</v>
      </c>
      <c r="B169" s="2" t="s">
        <v>24</v>
      </c>
      <c r="C169" s="2" t="s">
        <v>25</v>
      </c>
      <c r="D169" s="2" t="s">
        <v>26</v>
      </c>
      <c r="E169" s="2" t="s">
        <v>38</v>
      </c>
      <c r="F169">
        <v>95904</v>
      </c>
      <c r="G169">
        <v>4183</v>
      </c>
      <c r="H169">
        <v>667</v>
      </c>
      <c r="I169">
        <v>322</v>
      </c>
      <c r="J169">
        <v>147</v>
      </c>
      <c r="K169">
        <v>66125.77</v>
      </c>
      <c r="L169">
        <v>751735</v>
      </c>
      <c r="M169" s="2" t="s">
        <v>20</v>
      </c>
      <c r="N169">
        <v>4.3616533199866536</v>
      </c>
      <c r="O169">
        <v>15.808216590963424</v>
      </c>
      <c r="P169">
        <v>15.945493664833851</v>
      </c>
      <c r="Q169">
        <v>449.83517006802725</v>
      </c>
      <c r="R169">
        <v>11.368260815715264</v>
      </c>
    </row>
    <row r="170" spans="1:18" x14ac:dyDescent="0.25">
      <c r="A170" s="1">
        <v>45429</v>
      </c>
      <c r="B170" s="2" t="s">
        <v>24</v>
      </c>
      <c r="C170" s="2" t="s">
        <v>25</v>
      </c>
      <c r="D170" s="2" t="s">
        <v>26</v>
      </c>
      <c r="E170" s="2" t="s">
        <v>38</v>
      </c>
      <c r="F170">
        <v>135876</v>
      </c>
      <c r="G170">
        <v>8214</v>
      </c>
      <c r="H170">
        <v>1729</v>
      </c>
      <c r="I170">
        <v>909</v>
      </c>
      <c r="J170">
        <v>441</v>
      </c>
      <c r="K170">
        <v>85485.01</v>
      </c>
      <c r="L170">
        <v>2700293.92</v>
      </c>
      <c r="M170" s="2" t="s">
        <v>22</v>
      </c>
      <c r="N170">
        <v>6.0452176984897994</v>
      </c>
      <c r="O170">
        <v>10.407232773313854</v>
      </c>
      <c r="P170">
        <v>21.049427806184561</v>
      </c>
      <c r="Q170">
        <v>193.84356009070294</v>
      </c>
      <c r="R170">
        <v>31.587923075636304</v>
      </c>
    </row>
    <row r="171" spans="1:18" x14ac:dyDescent="0.25">
      <c r="A171" s="1">
        <v>45430</v>
      </c>
      <c r="B171" s="2" t="s">
        <v>24</v>
      </c>
      <c r="C171" s="2" t="s">
        <v>25</v>
      </c>
      <c r="D171" s="2" t="s">
        <v>26</v>
      </c>
      <c r="E171" s="2" t="s">
        <v>38</v>
      </c>
      <c r="F171">
        <v>280625</v>
      </c>
      <c r="G171">
        <v>14687</v>
      </c>
      <c r="H171">
        <v>2934</v>
      </c>
      <c r="I171">
        <v>1372</v>
      </c>
      <c r="J171">
        <v>655</v>
      </c>
      <c r="K171">
        <v>191298.55</v>
      </c>
      <c r="L171">
        <v>3980786.43</v>
      </c>
      <c r="M171" s="2" t="s">
        <v>22</v>
      </c>
      <c r="N171">
        <v>5.2336748329621381</v>
      </c>
      <c r="O171">
        <v>13.025025532784094</v>
      </c>
      <c r="P171">
        <v>19.976850275754067</v>
      </c>
      <c r="Q171">
        <v>292.05885496183203</v>
      </c>
      <c r="R171">
        <v>20.809287001914026</v>
      </c>
    </row>
    <row r="172" spans="1:18" x14ac:dyDescent="0.25">
      <c r="A172" s="1">
        <v>45431</v>
      </c>
      <c r="B172" s="2" t="s">
        <v>24</v>
      </c>
      <c r="C172" s="2" t="s">
        <v>25</v>
      </c>
      <c r="D172" s="2" t="s">
        <v>26</v>
      </c>
      <c r="E172" s="2" t="s">
        <v>38</v>
      </c>
      <c r="F172">
        <v>99328</v>
      </c>
      <c r="G172">
        <v>5165</v>
      </c>
      <c r="H172">
        <v>1149</v>
      </c>
      <c r="I172">
        <v>717</v>
      </c>
      <c r="J172">
        <v>314</v>
      </c>
      <c r="K172">
        <v>59406.59</v>
      </c>
      <c r="L172">
        <v>1218839.81</v>
      </c>
      <c r="M172" s="2" t="s">
        <v>22</v>
      </c>
      <c r="N172">
        <v>5.1999436211340209</v>
      </c>
      <c r="O172">
        <v>11.501759922555662</v>
      </c>
      <c r="P172">
        <v>22.245885769603095</v>
      </c>
      <c r="Q172">
        <v>189.19296178343947</v>
      </c>
      <c r="R172">
        <v>20.516912517617996</v>
      </c>
    </row>
    <row r="173" spans="1:18" x14ac:dyDescent="0.25">
      <c r="A173" s="1">
        <v>45432</v>
      </c>
      <c r="B173" s="2" t="s">
        <v>24</v>
      </c>
      <c r="C173" s="2" t="s">
        <v>25</v>
      </c>
      <c r="D173" s="2" t="s">
        <v>26</v>
      </c>
      <c r="E173" s="2" t="s">
        <v>38</v>
      </c>
      <c r="F173">
        <v>144094</v>
      </c>
      <c r="G173">
        <v>11075</v>
      </c>
      <c r="H173">
        <v>2057</v>
      </c>
      <c r="I173">
        <v>1117</v>
      </c>
      <c r="J173">
        <v>577</v>
      </c>
      <c r="K173">
        <v>118500.5</v>
      </c>
      <c r="L173">
        <v>3178344.45</v>
      </c>
      <c r="M173" s="2" t="s">
        <v>20</v>
      </c>
      <c r="N173">
        <v>7.6859550015961799</v>
      </c>
      <c r="O173">
        <v>10.69981941309255</v>
      </c>
      <c r="P173">
        <v>18.57336343115124</v>
      </c>
      <c r="Q173">
        <v>205.37348353552861</v>
      </c>
      <c r="R173">
        <v>26.821358981607673</v>
      </c>
    </row>
    <row r="174" spans="1:18" x14ac:dyDescent="0.25">
      <c r="A174" s="1">
        <v>45433</v>
      </c>
      <c r="B174" s="2" t="s">
        <v>24</v>
      </c>
      <c r="C174" s="2" t="s">
        <v>25</v>
      </c>
      <c r="D174" s="2" t="s">
        <v>26</v>
      </c>
      <c r="E174" s="2" t="s">
        <v>38</v>
      </c>
      <c r="F174">
        <v>257103</v>
      </c>
      <c r="G174">
        <v>13993</v>
      </c>
      <c r="H174">
        <v>3038</v>
      </c>
      <c r="I174">
        <v>1674</v>
      </c>
      <c r="J174">
        <v>939</v>
      </c>
      <c r="K174">
        <v>151753.51</v>
      </c>
      <c r="L174">
        <v>5715057.0800000001</v>
      </c>
      <c r="M174" s="2" t="s">
        <v>23</v>
      </c>
      <c r="N174">
        <v>5.4425658199243099</v>
      </c>
      <c r="O174">
        <v>10.844958908025442</v>
      </c>
      <c r="P174">
        <v>21.710855427713856</v>
      </c>
      <c r="Q174">
        <v>161.61183173588924</v>
      </c>
      <c r="R174">
        <v>37.660131090213333</v>
      </c>
    </row>
    <row r="175" spans="1:18" x14ac:dyDescent="0.25">
      <c r="A175" s="1">
        <v>45434</v>
      </c>
      <c r="B175" s="2" t="s">
        <v>24</v>
      </c>
      <c r="C175" s="2" t="s">
        <v>25</v>
      </c>
      <c r="D175" s="2" t="s">
        <v>26</v>
      </c>
      <c r="E175" s="2" t="s">
        <v>38</v>
      </c>
      <c r="F175">
        <v>209828</v>
      </c>
      <c r="G175">
        <v>14119</v>
      </c>
      <c r="H175">
        <v>2701</v>
      </c>
      <c r="I175">
        <v>1585</v>
      </c>
      <c r="J175">
        <v>667</v>
      </c>
      <c r="K175">
        <v>164161.53</v>
      </c>
      <c r="L175">
        <v>3749676.3</v>
      </c>
      <c r="M175" s="2" t="s">
        <v>20</v>
      </c>
      <c r="N175">
        <v>6.7288445774634456</v>
      </c>
      <c r="O175">
        <v>11.626994121396699</v>
      </c>
      <c r="P175">
        <v>19.130250017706636</v>
      </c>
      <c r="Q175">
        <v>246.11923538230883</v>
      </c>
      <c r="R175">
        <v>22.841382509044596</v>
      </c>
    </row>
    <row r="176" spans="1:18" x14ac:dyDescent="0.25">
      <c r="A176" s="1">
        <v>45435</v>
      </c>
      <c r="B176" s="2" t="s">
        <v>24</v>
      </c>
      <c r="C176" s="2" t="s">
        <v>25</v>
      </c>
      <c r="D176" s="2" t="s">
        <v>26</v>
      </c>
      <c r="E176" s="2" t="s">
        <v>38</v>
      </c>
      <c r="F176">
        <v>218859</v>
      </c>
      <c r="G176">
        <v>11905</v>
      </c>
      <c r="H176">
        <v>1854</v>
      </c>
      <c r="I176">
        <v>941</v>
      </c>
      <c r="J176">
        <v>482</v>
      </c>
      <c r="K176">
        <v>120754.52</v>
      </c>
      <c r="L176">
        <v>1563740.44</v>
      </c>
      <c r="M176" s="2" t="s">
        <v>21</v>
      </c>
      <c r="N176">
        <v>5.4395752516460369</v>
      </c>
      <c r="O176">
        <v>10.14317681646367</v>
      </c>
      <c r="P176">
        <v>15.573288534229315</v>
      </c>
      <c r="Q176">
        <v>250.52804979253114</v>
      </c>
      <c r="R176">
        <v>12.949746643024211</v>
      </c>
    </row>
    <row r="177" spans="1:18" x14ac:dyDescent="0.25">
      <c r="A177" s="1">
        <v>45436</v>
      </c>
      <c r="B177" s="2" t="s">
        <v>24</v>
      </c>
      <c r="C177" s="2" t="s">
        <v>25</v>
      </c>
      <c r="D177" s="2" t="s">
        <v>26</v>
      </c>
      <c r="E177" s="2" t="s">
        <v>38</v>
      </c>
      <c r="F177">
        <v>210510</v>
      </c>
      <c r="G177">
        <v>12742</v>
      </c>
      <c r="H177">
        <v>2399</v>
      </c>
      <c r="I177">
        <v>1408</v>
      </c>
      <c r="J177">
        <v>810</v>
      </c>
      <c r="K177">
        <v>182684.18</v>
      </c>
      <c r="L177">
        <v>6159533.6299999999</v>
      </c>
      <c r="M177" s="2" t="s">
        <v>19</v>
      </c>
      <c r="N177">
        <v>6.0529191012303452</v>
      </c>
      <c r="O177">
        <v>14.337166849788101</v>
      </c>
      <c r="P177">
        <v>18.827499607596923</v>
      </c>
      <c r="Q177">
        <v>225.53602469135802</v>
      </c>
      <c r="R177">
        <v>33.716841983799583</v>
      </c>
    </row>
    <row r="178" spans="1:18" x14ac:dyDescent="0.25">
      <c r="A178" s="1">
        <v>45437</v>
      </c>
      <c r="B178" s="2" t="s">
        <v>24</v>
      </c>
      <c r="C178" s="2" t="s">
        <v>25</v>
      </c>
      <c r="D178" s="2" t="s">
        <v>26</v>
      </c>
      <c r="E178" s="2" t="s">
        <v>38</v>
      </c>
      <c r="F178">
        <v>112134</v>
      </c>
      <c r="G178">
        <v>3488</v>
      </c>
      <c r="H178">
        <v>542</v>
      </c>
      <c r="I178">
        <v>286</v>
      </c>
      <c r="J178">
        <v>159</v>
      </c>
      <c r="K178">
        <v>76411.33</v>
      </c>
      <c r="L178">
        <v>520844.26</v>
      </c>
      <c r="M178" s="2" t="s">
        <v>20</v>
      </c>
      <c r="N178">
        <v>3.110564146467619</v>
      </c>
      <c r="O178">
        <v>21.906918004587155</v>
      </c>
      <c r="P178">
        <v>15.538990825688073</v>
      </c>
      <c r="Q178">
        <v>480.57440251572331</v>
      </c>
      <c r="R178">
        <v>6.8163223961682124</v>
      </c>
    </row>
    <row r="179" spans="1:18" x14ac:dyDescent="0.25">
      <c r="A179" s="1">
        <v>45438</v>
      </c>
      <c r="B179" s="2" t="s">
        <v>24</v>
      </c>
      <c r="C179" s="2" t="s">
        <v>25</v>
      </c>
      <c r="D179" s="2" t="s">
        <v>26</v>
      </c>
      <c r="E179" s="2" t="s">
        <v>38</v>
      </c>
      <c r="F179">
        <v>167323</v>
      </c>
      <c r="G179">
        <v>6870</v>
      </c>
      <c r="H179">
        <v>1386</v>
      </c>
      <c r="I179">
        <v>656</v>
      </c>
      <c r="J179">
        <v>339</v>
      </c>
      <c r="K179">
        <v>154889.76</v>
      </c>
      <c r="L179">
        <v>2689431.95</v>
      </c>
      <c r="M179" s="2" t="s">
        <v>19</v>
      </c>
      <c r="N179">
        <v>4.1058312365903067</v>
      </c>
      <c r="O179">
        <v>22.545816593886464</v>
      </c>
      <c r="P179">
        <v>20.174672489082969</v>
      </c>
      <c r="Q179">
        <v>456.90194690265491</v>
      </c>
      <c r="R179">
        <v>17.363523256798899</v>
      </c>
    </row>
    <row r="180" spans="1:18" x14ac:dyDescent="0.25">
      <c r="A180" s="1">
        <v>45439</v>
      </c>
      <c r="B180" s="2" t="s">
        <v>24</v>
      </c>
      <c r="C180" s="2" t="s">
        <v>25</v>
      </c>
      <c r="D180" s="2" t="s">
        <v>26</v>
      </c>
      <c r="E180" s="2" t="s">
        <v>38</v>
      </c>
      <c r="F180">
        <v>71573</v>
      </c>
      <c r="G180">
        <v>3385</v>
      </c>
      <c r="H180">
        <v>572</v>
      </c>
      <c r="I180">
        <v>368</v>
      </c>
      <c r="J180">
        <v>169</v>
      </c>
      <c r="K180">
        <v>37172.300000000003</v>
      </c>
      <c r="L180">
        <v>1300602.6299999999</v>
      </c>
      <c r="M180" s="2" t="s">
        <v>23</v>
      </c>
      <c r="N180">
        <v>4.7294370782278232</v>
      </c>
      <c r="O180">
        <v>10.981477104874447</v>
      </c>
      <c r="P180">
        <v>16.898079763663219</v>
      </c>
      <c r="Q180">
        <v>219.9544378698225</v>
      </c>
      <c r="R180">
        <v>34.988489547324214</v>
      </c>
    </row>
    <row r="181" spans="1:18" x14ac:dyDescent="0.25">
      <c r="A181" s="1">
        <v>45440</v>
      </c>
      <c r="B181" s="2" t="s">
        <v>24</v>
      </c>
      <c r="C181" s="2" t="s">
        <v>25</v>
      </c>
      <c r="D181" s="2" t="s">
        <v>26</v>
      </c>
      <c r="E181" s="2" t="s">
        <v>38</v>
      </c>
      <c r="F181">
        <v>157823</v>
      </c>
      <c r="G181">
        <v>9513</v>
      </c>
      <c r="H181">
        <v>2121</v>
      </c>
      <c r="I181">
        <v>1051</v>
      </c>
      <c r="J181">
        <v>506</v>
      </c>
      <c r="K181">
        <v>109850.41</v>
      </c>
      <c r="L181">
        <v>3668863.75</v>
      </c>
      <c r="M181" s="2" t="s">
        <v>23</v>
      </c>
      <c r="N181">
        <v>6.0276385571177835</v>
      </c>
      <c r="O181">
        <v>11.547399348260276</v>
      </c>
      <c r="P181">
        <v>22.29580573951435</v>
      </c>
      <c r="Q181">
        <v>217.09567193675889</v>
      </c>
      <c r="R181">
        <v>33.398726049361123</v>
      </c>
    </row>
    <row r="182" spans="1:18" x14ac:dyDescent="0.25">
      <c r="A182" s="1">
        <v>45441</v>
      </c>
      <c r="B182" s="2" t="s">
        <v>24</v>
      </c>
      <c r="C182" s="2" t="s">
        <v>25</v>
      </c>
      <c r="D182" s="2" t="s">
        <v>26</v>
      </c>
      <c r="E182" s="2" t="s">
        <v>38</v>
      </c>
      <c r="F182">
        <v>170857</v>
      </c>
      <c r="G182">
        <v>13220</v>
      </c>
      <c r="H182">
        <v>2821</v>
      </c>
      <c r="I182">
        <v>1398</v>
      </c>
      <c r="J182">
        <v>619</v>
      </c>
      <c r="K182">
        <v>96132.33</v>
      </c>
      <c r="L182">
        <v>4551261.95</v>
      </c>
      <c r="M182" s="2" t="s">
        <v>20</v>
      </c>
      <c r="N182">
        <v>7.7374646634319939</v>
      </c>
      <c r="O182">
        <v>7.2717344931921328</v>
      </c>
      <c r="P182">
        <v>21.338880484114977</v>
      </c>
      <c r="Q182">
        <v>155.30263327948305</v>
      </c>
      <c r="R182">
        <v>47.343718289154126</v>
      </c>
    </row>
    <row r="183" spans="1:18" x14ac:dyDescent="0.25">
      <c r="A183" s="1">
        <v>45442</v>
      </c>
      <c r="B183" s="2" t="s">
        <v>24</v>
      </c>
      <c r="C183" s="2" t="s">
        <v>25</v>
      </c>
      <c r="D183" s="2" t="s">
        <v>26</v>
      </c>
      <c r="E183" s="2" t="s">
        <v>38</v>
      </c>
      <c r="F183">
        <v>286098</v>
      </c>
      <c r="G183">
        <v>8605</v>
      </c>
      <c r="H183">
        <v>1496</v>
      </c>
      <c r="I183">
        <v>757</v>
      </c>
      <c r="J183">
        <v>307</v>
      </c>
      <c r="K183">
        <v>284695.90999999997</v>
      </c>
      <c r="L183">
        <v>2297719.94</v>
      </c>
      <c r="M183" s="2" t="s">
        <v>20</v>
      </c>
      <c r="N183">
        <v>3.0077106446042965</v>
      </c>
      <c r="O183">
        <v>33.084940151074953</v>
      </c>
      <c r="P183">
        <v>17.385241138872747</v>
      </c>
      <c r="Q183">
        <v>927.34824104234519</v>
      </c>
      <c r="R183">
        <v>8.070786615796484</v>
      </c>
    </row>
    <row r="184" spans="1:18" x14ac:dyDescent="0.25">
      <c r="A184" s="1">
        <v>45443</v>
      </c>
      <c r="B184" s="2" t="s">
        <v>24</v>
      </c>
      <c r="C184" s="2" t="s">
        <v>25</v>
      </c>
      <c r="D184" s="2" t="s">
        <v>26</v>
      </c>
      <c r="E184" s="2" t="s">
        <v>38</v>
      </c>
      <c r="F184">
        <v>179655</v>
      </c>
      <c r="G184">
        <v>7512</v>
      </c>
      <c r="H184">
        <v>1329</v>
      </c>
      <c r="I184">
        <v>827</v>
      </c>
      <c r="J184">
        <v>420</v>
      </c>
      <c r="K184">
        <v>177940.53</v>
      </c>
      <c r="L184">
        <v>2774452.44</v>
      </c>
      <c r="M184" s="2" t="s">
        <v>23</v>
      </c>
      <c r="N184">
        <v>4.1813475828671622</v>
      </c>
      <c r="O184">
        <v>23.687503993610225</v>
      </c>
      <c r="P184">
        <v>17.691693290734825</v>
      </c>
      <c r="Q184">
        <v>423.66792857142855</v>
      </c>
      <c r="R184">
        <v>15.592020772333319</v>
      </c>
    </row>
    <row r="185" spans="1:18" x14ac:dyDescent="0.25">
      <c r="A185" s="1">
        <v>45444</v>
      </c>
      <c r="B185" s="2" t="s">
        <v>24</v>
      </c>
      <c r="C185" s="2" t="s">
        <v>25</v>
      </c>
      <c r="D185" s="2" t="s">
        <v>26</v>
      </c>
      <c r="E185" s="2" t="s">
        <v>38</v>
      </c>
      <c r="F185">
        <v>200920</v>
      </c>
      <c r="G185">
        <v>10462</v>
      </c>
      <c r="H185">
        <v>2244</v>
      </c>
      <c r="I185">
        <v>1338</v>
      </c>
      <c r="J185">
        <v>750</v>
      </c>
      <c r="K185">
        <v>142412.10999999999</v>
      </c>
      <c r="L185">
        <v>4242470.3600000003</v>
      </c>
      <c r="M185" s="2" t="s">
        <v>19</v>
      </c>
      <c r="N185">
        <v>5.2070475811268171</v>
      </c>
      <c r="O185">
        <v>13.612321735805772</v>
      </c>
      <c r="P185">
        <v>21.449053718218313</v>
      </c>
      <c r="Q185">
        <v>189.8828133333333</v>
      </c>
      <c r="R185">
        <v>29.790095519264483</v>
      </c>
    </row>
    <row r="186" spans="1:18" x14ac:dyDescent="0.25">
      <c r="A186" s="1">
        <v>45445</v>
      </c>
      <c r="B186" s="2" t="s">
        <v>24</v>
      </c>
      <c r="C186" s="2" t="s">
        <v>25</v>
      </c>
      <c r="D186" s="2" t="s">
        <v>26</v>
      </c>
      <c r="E186" s="2" t="s">
        <v>38</v>
      </c>
      <c r="F186">
        <v>277733</v>
      </c>
      <c r="G186">
        <v>19722</v>
      </c>
      <c r="H186">
        <v>3356</v>
      </c>
      <c r="I186">
        <v>1999</v>
      </c>
      <c r="J186">
        <v>1087</v>
      </c>
      <c r="K186">
        <v>267369.15000000002</v>
      </c>
      <c r="L186">
        <v>6633449.5</v>
      </c>
      <c r="M186" s="2" t="s">
        <v>21</v>
      </c>
      <c r="N186">
        <v>7.1010646916282907</v>
      </c>
      <c r="O186">
        <v>13.556898387587466</v>
      </c>
      <c r="P186">
        <v>17.016529763715649</v>
      </c>
      <c r="Q186">
        <v>245.96977920883168</v>
      </c>
      <c r="R186">
        <v>24.810078126066525</v>
      </c>
    </row>
    <row r="187" spans="1:18" x14ac:dyDescent="0.25">
      <c r="A187" s="1">
        <v>45446</v>
      </c>
      <c r="B187" s="2" t="s">
        <v>24</v>
      </c>
      <c r="C187" s="2" t="s">
        <v>25</v>
      </c>
      <c r="D187" s="2" t="s">
        <v>26</v>
      </c>
      <c r="E187" s="2" t="s">
        <v>38</v>
      </c>
      <c r="F187">
        <v>163525</v>
      </c>
      <c r="G187">
        <v>6314</v>
      </c>
      <c r="H187">
        <v>1573</v>
      </c>
      <c r="I187">
        <v>794</v>
      </c>
      <c r="J187">
        <v>445</v>
      </c>
      <c r="K187">
        <v>161244.1</v>
      </c>
      <c r="L187">
        <v>2892185.32</v>
      </c>
      <c r="M187" s="2" t="s">
        <v>21</v>
      </c>
      <c r="N187">
        <v>3.8611833053049995</v>
      </c>
      <c r="O187">
        <v>25.537551472917329</v>
      </c>
      <c r="P187">
        <v>24.912891986062718</v>
      </c>
      <c r="Q187">
        <v>362.34629213483146</v>
      </c>
      <c r="R187">
        <v>17.936689280413979</v>
      </c>
    </row>
    <row r="188" spans="1:18" x14ac:dyDescent="0.25">
      <c r="A188" s="1">
        <v>45447</v>
      </c>
      <c r="B188" s="2" t="s">
        <v>24</v>
      </c>
      <c r="C188" s="2" t="s">
        <v>25</v>
      </c>
      <c r="D188" s="2" t="s">
        <v>26</v>
      </c>
      <c r="E188" s="2" t="s">
        <v>38</v>
      </c>
      <c r="F188">
        <v>57200</v>
      </c>
      <c r="G188">
        <v>2876</v>
      </c>
      <c r="H188">
        <v>542</v>
      </c>
      <c r="I188">
        <v>295</v>
      </c>
      <c r="J188">
        <v>144</v>
      </c>
      <c r="K188">
        <v>40656.160000000003</v>
      </c>
      <c r="L188">
        <v>1131479.57</v>
      </c>
      <c r="M188" s="2" t="s">
        <v>20</v>
      </c>
      <c r="N188">
        <v>5.0279720279720284</v>
      </c>
      <c r="O188">
        <v>14.136356050069542</v>
      </c>
      <c r="P188">
        <v>18.845618915159946</v>
      </c>
      <c r="Q188">
        <v>282.33444444444444</v>
      </c>
      <c r="R188">
        <v>27.830458410238446</v>
      </c>
    </row>
    <row r="189" spans="1:18" x14ac:dyDescent="0.25">
      <c r="A189" s="1">
        <v>45448</v>
      </c>
      <c r="B189" s="2" t="s">
        <v>24</v>
      </c>
      <c r="C189" s="2" t="s">
        <v>25</v>
      </c>
      <c r="D189" s="2" t="s">
        <v>26</v>
      </c>
      <c r="E189" s="2" t="s">
        <v>38</v>
      </c>
      <c r="F189">
        <v>138496</v>
      </c>
      <c r="G189">
        <v>6165</v>
      </c>
      <c r="H189">
        <v>1152</v>
      </c>
      <c r="I189">
        <v>534</v>
      </c>
      <c r="J189">
        <v>238</v>
      </c>
      <c r="K189">
        <v>78355.929999999993</v>
      </c>
      <c r="L189">
        <v>1666242.27</v>
      </c>
      <c r="M189" s="2" t="s">
        <v>19</v>
      </c>
      <c r="N189">
        <v>4.4513920979667283</v>
      </c>
      <c r="O189">
        <v>12.709802108678019</v>
      </c>
      <c r="P189">
        <v>18.686131386861312</v>
      </c>
      <c r="Q189">
        <v>329.22659663865545</v>
      </c>
      <c r="R189">
        <v>21.265043628478409</v>
      </c>
    </row>
    <row r="190" spans="1:18" x14ac:dyDescent="0.25">
      <c r="A190" s="1">
        <v>45449</v>
      </c>
      <c r="B190" s="2" t="s">
        <v>24</v>
      </c>
      <c r="C190" s="2" t="s">
        <v>25</v>
      </c>
      <c r="D190" s="2" t="s">
        <v>26</v>
      </c>
      <c r="E190" s="2" t="s">
        <v>38</v>
      </c>
      <c r="F190">
        <v>173098</v>
      </c>
      <c r="G190">
        <v>12987</v>
      </c>
      <c r="H190">
        <v>2605</v>
      </c>
      <c r="I190">
        <v>1205</v>
      </c>
      <c r="J190">
        <v>678</v>
      </c>
      <c r="K190">
        <v>171934.55</v>
      </c>
      <c r="L190">
        <v>4701884.7</v>
      </c>
      <c r="M190" s="2" t="s">
        <v>21</v>
      </c>
      <c r="N190">
        <v>7.5026863395302081</v>
      </c>
      <c r="O190">
        <v>13.238973588973588</v>
      </c>
      <c r="P190">
        <v>20.058520058520056</v>
      </c>
      <c r="Q190">
        <v>253.59078171091443</v>
      </c>
      <c r="R190">
        <v>27.346945102075182</v>
      </c>
    </row>
    <row r="191" spans="1:18" x14ac:dyDescent="0.25">
      <c r="A191" s="1">
        <v>45450</v>
      </c>
      <c r="B191" s="2" t="s">
        <v>24</v>
      </c>
      <c r="C191" s="2" t="s">
        <v>25</v>
      </c>
      <c r="D191" s="2" t="s">
        <v>26</v>
      </c>
      <c r="E191" s="2" t="s">
        <v>38</v>
      </c>
      <c r="F191">
        <v>132867</v>
      </c>
      <c r="G191">
        <v>6166</v>
      </c>
      <c r="H191">
        <v>1353</v>
      </c>
      <c r="I191">
        <v>871</v>
      </c>
      <c r="J191">
        <v>423</v>
      </c>
      <c r="K191">
        <v>110775.88</v>
      </c>
      <c r="L191">
        <v>1886619.18</v>
      </c>
      <c r="M191" s="2" t="s">
        <v>20</v>
      </c>
      <c r="N191">
        <v>4.6407309565204304</v>
      </c>
      <c r="O191">
        <v>17.965598443074928</v>
      </c>
      <c r="P191">
        <v>21.942912747324034</v>
      </c>
      <c r="Q191">
        <v>261.8815130023641</v>
      </c>
      <c r="R191">
        <v>17.030956377868538</v>
      </c>
    </row>
    <row r="192" spans="1:18" x14ac:dyDescent="0.25">
      <c r="A192" s="1">
        <v>45451</v>
      </c>
      <c r="B192" s="2" t="s">
        <v>24</v>
      </c>
      <c r="C192" s="2" t="s">
        <v>25</v>
      </c>
      <c r="D192" s="2" t="s">
        <v>26</v>
      </c>
      <c r="E192" s="2" t="s">
        <v>38</v>
      </c>
      <c r="F192">
        <v>78405</v>
      </c>
      <c r="G192">
        <v>5902</v>
      </c>
      <c r="H192">
        <v>1106</v>
      </c>
      <c r="I192">
        <v>584</v>
      </c>
      <c r="J192">
        <v>309</v>
      </c>
      <c r="K192">
        <v>59265.23</v>
      </c>
      <c r="L192">
        <v>1624992.95</v>
      </c>
      <c r="M192" s="2" t="s">
        <v>22</v>
      </c>
      <c r="N192">
        <v>7.5275811491614055</v>
      </c>
      <c r="O192">
        <v>10.041550321924772</v>
      </c>
      <c r="P192">
        <v>18.739410369366315</v>
      </c>
      <c r="Q192">
        <v>191.79686084142395</v>
      </c>
      <c r="R192">
        <v>27.418993396296614</v>
      </c>
    </row>
    <row r="193" spans="1:18" x14ac:dyDescent="0.25">
      <c r="A193" s="1">
        <v>45452</v>
      </c>
      <c r="B193" s="2" t="s">
        <v>24</v>
      </c>
      <c r="C193" s="2" t="s">
        <v>25</v>
      </c>
      <c r="D193" s="2" t="s">
        <v>26</v>
      </c>
      <c r="E193" s="2" t="s">
        <v>38</v>
      </c>
      <c r="F193">
        <v>123612</v>
      </c>
      <c r="G193">
        <v>8089</v>
      </c>
      <c r="H193">
        <v>1527</v>
      </c>
      <c r="I193">
        <v>775</v>
      </c>
      <c r="J193">
        <v>424</v>
      </c>
      <c r="K193">
        <v>113946.27</v>
      </c>
      <c r="L193">
        <v>3146851.09</v>
      </c>
      <c r="M193" s="2" t="s">
        <v>22</v>
      </c>
      <c r="N193">
        <v>6.5438630553667929</v>
      </c>
      <c r="O193">
        <v>14.08657065150204</v>
      </c>
      <c r="P193">
        <v>18.87748794659414</v>
      </c>
      <c r="Q193">
        <v>268.74120283018868</v>
      </c>
      <c r="R193">
        <v>27.616973245372577</v>
      </c>
    </row>
    <row r="194" spans="1:18" x14ac:dyDescent="0.25">
      <c r="A194" s="1">
        <v>45453</v>
      </c>
      <c r="B194" s="2" t="s">
        <v>24</v>
      </c>
      <c r="C194" s="2" t="s">
        <v>25</v>
      </c>
      <c r="D194" s="2" t="s">
        <v>26</v>
      </c>
      <c r="E194" s="2" t="s">
        <v>38</v>
      </c>
      <c r="F194">
        <v>195933</v>
      </c>
      <c r="G194">
        <v>8997</v>
      </c>
      <c r="H194">
        <v>1665</v>
      </c>
      <c r="I194">
        <v>915</v>
      </c>
      <c r="J194">
        <v>447</v>
      </c>
      <c r="K194">
        <v>189378.11</v>
      </c>
      <c r="L194">
        <v>2736847.83</v>
      </c>
      <c r="M194" s="2" t="s">
        <v>20</v>
      </c>
      <c r="N194">
        <v>4.5918757942766151</v>
      </c>
      <c r="O194">
        <v>21.049028565077247</v>
      </c>
      <c r="P194">
        <v>18.506168722907638</v>
      </c>
      <c r="Q194">
        <v>423.6646756152125</v>
      </c>
      <c r="R194">
        <v>14.45176440930792</v>
      </c>
    </row>
    <row r="195" spans="1:18" x14ac:dyDescent="0.25">
      <c r="A195" s="1">
        <v>45454</v>
      </c>
      <c r="B195" s="2" t="s">
        <v>24</v>
      </c>
      <c r="C195" s="2" t="s">
        <v>25</v>
      </c>
      <c r="D195" s="2" t="s">
        <v>26</v>
      </c>
      <c r="E195" s="2" t="s">
        <v>38</v>
      </c>
      <c r="F195">
        <v>107645</v>
      </c>
      <c r="G195">
        <v>6490</v>
      </c>
      <c r="H195">
        <v>1396</v>
      </c>
      <c r="I195">
        <v>669</v>
      </c>
      <c r="J195">
        <v>394</v>
      </c>
      <c r="K195">
        <v>64452.160000000003</v>
      </c>
      <c r="L195">
        <v>2150210.5099999998</v>
      </c>
      <c r="M195" s="2" t="s">
        <v>23</v>
      </c>
      <c r="N195">
        <v>6.0290770588508522</v>
      </c>
      <c r="O195">
        <v>9.9309953775038533</v>
      </c>
      <c r="P195">
        <v>21.510015408320491</v>
      </c>
      <c r="Q195">
        <v>163.58416243654824</v>
      </c>
      <c r="R195">
        <v>33.361341342167577</v>
      </c>
    </row>
    <row r="196" spans="1:18" x14ac:dyDescent="0.25">
      <c r="A196" s="1">
        <v>45455</v>
      </c>
      <c r="B196" s="2" t="s">
        <v>24</v>
      </c>
      <c r="C196" s="2" t="s">
        <v>25</v>
      </c>
      <c r="D196" s="2" t="s">
        <v>26</v>
      </c>
      <c r="E196" s="2" t="s">
        <v>38</v>
      </c>
      <c r="F196">
        <v>126990</v>
      </c>
      <c r="G196">
        <v>3967</v>
      </c>
      <c r="H196">
        <v>640</v>
      </c>
      <c r="I196">
        <v>342</v>
      </c>
      <c r="J196">
        <v>195</v>
      </c>
      <c r="K196">
        <v>78557.41</v>
      </c>
      <c r="L196">
        <v>817559.85</v>
      </c>
      <c r="M196" s="2" t="s">
        <v>23</v>
      </c>
      <c r="N196">
        <v>3.1238680211040237</v>
      </c>
      <c r="O196">
        <v>19.802724981094027</v>
      </c>
      <c r="P196">
        <v>16.13309805898664</v>
      </c>
      <c r="Q196">
        <v>402.85851282051283</v>
      </c>
      <c r="R196">
        <v>10.407164009098569</v>
      </c>
    </row>
    <row r="197" spans="1:18" x14ac:dyDescent="0.25">
      <c r="A197" s="1">
        <v>45456</v>
      </c>
      <c r="B197" s="2" t="s">
        <v>24</v>
      </c>
      <c r="C197" s="2" t="s">
        <v>25</v>
      </c>
      <c r="D197" s="2" t="s">
        <v>26</v>
      </c>
      <c r="E197" s="2" t="s">
        <v>38</v>
      </c>
      <c r="F197">
        <v>173173</v>
      </c>
      <c r="G197">
        <v>6384</v>
      </c>
      <c r="H197">
        <v>1547</v>
      </c>
      <c r="I197">
        <v>788</v>
      </c>
      <c r="J197">
        <v>399</v>
      </c>
      <c r="K197">
        <v>127532.25</v>
      </c>
      <c r="L197">
        <v>2683477.69</v>
      </c>
      <c r="M197" s="2" t="s">
        <v>21</v>
      </c>
      <c r="N197">
        <v>3.686486923481143</v>
      </c>
      <c r="O197">
        <v>19.976856203007518</v>
      </c>
      <c r="P197">
        <v>24.232456140350877</v>
      </c>
      <c r="Q197">
        <v>319.62969924812029</v>
      </c>
      <c r="R197">
        <v>21.041561565800023</v>
      </c>
    </row>
    <row r="198" spans="1:18" x14ac:dyDescent="0.25">
      <c r="A198" s="1">
        <v>45457</v>
      </c>
      <c r="B198" s="2" t="s">
        <v>24</v>
      </c>
      <c r="C198" s="2" t="s">
        <v>25</v>
      </c>
      <c r="D198" s="2" t="s">
        <v>26</v>
      </c>
      <c r="E198" s="2" t="s">
        <v>38</v>
      </c>
      <c r="F198">
        <v>267033</v>
      </c>
      <c r="G198">
        <v>20262</v>
      </c>
      <c r="H198">
        <v>3713</v>
      </c>
      <c r="I198">
        <v>2404</v>
      </c>
      <c r="J198">
        <v>1299</v>
      </c>
      <c r="K198">
        <v>216742.23</v>
      </c>
      <c r="L198">
        <v>7943328.0199999996</v>
      </c>
      <c r="M198" s="2" t="s">
        <v>22</v>
      </c>
      <c r="N198">
        <v>7.5878262237251581</v>
      </c>
      <c r="O198">
        <v>10.696981048267693</v>
      </c>
      <c r="P198">
        <v>18.32494324351002</v>
      </c>
      <c r="Q198">
        <v>166.85314087759815</v>
      </c>
      <c r="R198">
        <v>36.648732552027354</v>
      </c>
    </row>
    <row r="199" spans="1:18" x14ac:dyDescent="0.25">
      <c r="A199" s="1">
        <v>45458</v>
      </c>
      <c r="B199" s="2" t="s">
        <v>24</v>
      </c>
      <c r="C199" s="2" t="s">
        <v>25</v>
      </c>
      <c r="D199" s="2" t="s">
        <v>26</v>
      </c>
      <c r="E199" s="2" t="s">
        <v>38</v>
      </c>
      <c r="F199">
        <v>132726</v>
      </c>
      <c r="G199">
        <v>7918</v>
      </c>
      <c r="H199">
        <v>1387</v>
      </c>
      <c r="I199">
        <v>700</v>
      </c>
      <c r="J199">
        <v>353</v>
      </c>
      <c r="K199">
        <v>57062.19</v>
      </c>
      <c r="L199">
        <v>1916053.2</v>
      </c>
      <c r="M199" s="2" t="s">
        <v>21</v>
      </c>
      <c r="N199">
        <v>5.9656736434458963</v>
      </c>
      <c r="O199">
        <v>7.2066418287446332</v>
      </c>
      <c r="P199">
        <v>17.517049760040415</v>
      </c>
      <c r="Q199">
        <v>161.64926345609067</v>
      </c>
      <c r="R199">
        <v>33.578332692804111</v>
      </c>
    </row>
    <row r="200" spans="1:18" x14ac:dyDescent="0.25">
      <c r="A200" s="1">
        <v>45459</v>
      </c>
      <c r="B200" s="2" t="s">
        <v>24</v>
      </c>
      <c r="C200" s="2" t="s">
        <v>25</v>
      </c>
      <c r="D200" s="2" t="s">
        <v>26</v>
      </c>
      <c r="E200" s="2" t="s">
        <v>38</v>
      </c>
      <c r="F200">
        <v>251270</v>
      </c>
      <c r="G200">
        <v>9386</v>
      </c>
      <c r="H200">
        <v>1500</v>
      </c>
      <c r="I200">
        <v>689</v>
      </c>
      <c r="J200">
        <v>349</v>
      </c>
      <c r="K200">
        <v>244867.93</v>
      </c>
      <c r="L200">
        <v>2427243.89</v>
      </c>
      <c r="M200" s="2" t="s">
        <v>20</v>
      </c>
      <c r="N200">
        <v>3.7354240458470969</v>
      </c>
      <c r="O200">
        <v>26.088635201363733</v>
      </c>
      <c r="P200">
        <v>15.981248668229279</v>
      </c>
      <c r="Q200">
        <v>701.62730659025783</v>
      </c>
      <c r="R200">
        <v>9.9124613419160283</v>
      </c>
    </row>
    <row r="201" spans="1:18" x14ac:dyDescent="0.25">
      <c r="A201" s="1">
        <v>45460</v>
      </c>
      <c r="B201" s="2" t="s">
        <v>24</v>
      </c>
      <c r="C201" s="2" t="s">
        <v>25</v>
      </c>
      <c r="D201" s="2" t="s">
        <v>26</v>
      </c>
      <c r="E201" s="2" t="s">
        <v>38</v>
      </c>
      <c r="F201">
        <v>207125</v>
      </c>
      <c r="G201">
        <v>16396</v>
      </c>
      <c r="H201">
        <v>3081</v>
      </c>
      <c r="I201">
        <v>1427</v>
      </c>
      <c r="J201">
        <v>767</v>
      </c>
      <c r="K201">
        <v>130264.98</v>
      </c>
      <c r="L201">
        <v>5214044.04</v>
      </c>
      <c r="M201" s="2" t="s">
        <v>19</v>
      </c>
      <c r="N201">
        <v>7.9159927579963787</v>
      </c>
      <c r="O201">
        <v>7.9449243717979989</v>
      </c>
      <c r="P201">
        <v>18.791168577701878</v>
      </c>
      <c r="Q201">
        <v>169.83700130378097</v>
      </c>
      <c r="R201">
        <v>40.026444866456053</v>
      </c>
    </row>
    <row r="202" spans="1:18" x14ac:dyDescent="0.25">
      <c r="A202" s="1">
        <v>45461</v>
      </c>
      <c r="B202" s="2" t="s">
        <v>24</v>
      </c>
      <c r="C202" s="2" t="s">
        <v>25</v>
      </c>
      <c r="D202" s="2" t="s">
        <v>26</v>
      </c>
      <c r="E202" s="2" t="s">
        <v>38</v>
      </c>
      <c r="F202">
        <v>224667</v>
      </c>
      <c r="G202">
        <v>15878</v>
      </c>
      <c r="H202">
        <v>3948</v>
      </c>
      <c r="I202">
        <v>2098</v>
      </c>
      <c r="J202">
        <v>1224</v>
      </c>
      <c r="K202">
        <v>195773.85</v>
      </c>
      <c r="L202">
        <v>4343632.79</v>
      </c>
      <c r="M202" s="2" t="s">
        <v>21</v>
      </c>
      <c r="N202">
        <v>7.0673485647647398</v>
      </c>
      <c r="O202">
        <v>12.329880967376244</v>
      </c>
      <c r="P202">
        <v>24.864592517949362</v>
      </c>
      <c r="Q202">
        <v>159.94595588235293</v>
      </c>
      <c r="R202">
        <v>22.186991725401526</v>
      </c>
    </row>
    <row r="203" spans="1:18" x14ac:dyDescent="0.25">
      <c r="A203" s="1">
        <v>45462</v>
      </c>
      <c r="B203" s="2" t="s">
        <v>24</v>
      </c>
      <c r="C203" s="2" t="s">
        <v>25</v>
      </c>
      <c r="D203" s="2" t="s">
        <v>26</v>
      </c>
      <c r="E203" s="2" t="s">
        <v>38</v>
      </c>
      <c r="F203">
        <v>295874</v>
      </c>
      <c r="G203">
        <v>20384</v>
      </c>
      <c r="H203">
        <v>3505</v>
      </c>
      <c r="I203">
        <v>2023</v>
      </c>
      <c r="J203">
        <v>974</v>
      </c>
      <c r="K203">
        <v>195140.62</v>
      </c>
      <c r="L203">
        <v>5500364.7000000002</v>
      </c>
      <c r="M203" s="2" t="s">
        <v>21</v>
      </c>
      <c r="N203">
        <v>6.8894191446358928</v>
      </c>
      <c r="O203">
        <v>9.5732250784929356</v>
      </c>
      <c r="P203">
        <v>17.194858712715856</v>
      </c>
      <c r="Q203">
        <v>200.34971252566734</v>
      </c>
      <c r="R203">
        <v>28.186672257165117</v>
      </c>
    </row>
    <row r="204" spans="1:18" x14ac:dyDescent="0.25">
      <c r="A204" s="1">
        <v>45463</v>
      </c>
      <c r="B204" s="2" t="s">
        <v>24</v>
      </c>
      <c r="C204" s="2" t="s">
        <v>25</v>
      </c>
      <c r="D204" s="2" t="s">
        <v>26</v>
      </c>
      <c r="E204" s="2" t="s">
        <v>38</v>
      </c>
      <c r="F204">
        <v>205409</v>
      </c>
      <c r="G204">
        <v>7026</v>
      </c>
      <c r="H204">
        <v>1119</v>
      </c>
      <c r="I204">
        <v>706</v>
      </c>
      <c r="J204">
        <v>423</v>
      </c>
      <c r="K204">
        <v>175824.96</v>
      </c>
      <c r="L204">
        <v>1322998.03</v>
      </c>
      <c r="M204" s="2" t="s">
        <v>22</v>
      </c>
      <c r="N204">
        <v>3.4204927729554204</v>
      </c>
      <c r="O204">
        <v>25.024901793339026</v>
      </c>
      <c r="P204">
        <v>15.926558497011101</v>
      </c>
      <c r="Q204">
        <v>415.66184397163119</v>
      </c>
      <c r="R204">
        <v>7.5245177362758966</v>
      </c>
    </row>
    <row r="205" spans="1:18" x14ac:dyDescent="0.25">
      <c r="A205" s="1">
        <v>45464</v>
      </c>
      <c r="B205" s="2" t="s">
        <v>24</v>
      </c>
      <c r="C205" s="2" t="s">
        <v>25</v>
      </c>
      <c r="D205" s="2" t="s">
        <v>26</v>
      </c>
      <c r="E205" s="2" t="s">
        <v>38</v>
      </c>
      <c r="F205">
        <v>189047</v>
      </c>
      <c r="G205">
        <v>7231</v>
      </c>
      <c r="H205">
        <v>1473</v>
      </c>
      <c r="I205">
        <v>846</v>
      </c>
      <c r="J205">
        <v>469</v>
      </c>
      <c r="K205">
        <v>149311.23000000001</v>
      </c>
      <c r="L205">
        <v>2655170.75</v>
      </c>
      <c r="M205" s="2" t="s">
        <v>20</v>
      </c>
      <c r="N205">
        <v>3.8249747417308924</v>
      </c>
      <c r="O205">
        <v>20.648766422348224</v>
      </c>
      <c r="P205">
        <v>20.370626469367998</v>
      </c>
      <c r="Q205">
        <v>318.36083155650323</v>
      </c>
      <c r="R205">
        <v>17.782793363901696</v>
      </c>
    </row>
    <row r="206" spans="1:18" x14ac:dyDescent="0.25">
      <c r="A206" s="1">
        <v>45465</v>
      </c>
      <c r="B206" s="2" t="s">
        <v>24</v>
      </c>
      <c r="C206" s="2" t="s">
        <v>25</v>
      </c>
      <c r="D206" s="2" t="s">
        <v>26</v>
      </c>
      <c r="E206" s="2" t="s">
        <v>38</v>
      </c>
      <c r="F206">
        <v>174907</v>
      </c>
      <c r="G206">
        <v>8495</v>
      </c>
      <c r="H206">
        <v>2121</v>
      </c>
      <c r="I206">
        <v>1059</v>
      </c>
      <c r="J206">
        <v>425</v>
      </c>
      <c r="K206">
        <v>134700.51</v>
      </c>
      <c r="L206">
        <v>2590998.61</v>
      </c>
      <c r="M206" s="2" t="s">
        <v>20</v>
      </c>
      <c r="N206">
        <v>4.8568667920666417</v>
      </c>
      <c r="O206">
        <v>15.856446144791054</v>
      </c>
      <c r="P206">
        <v>24.967628016480283</v>
      </c>
      <c r="Q206">
        <v>316.94237647058827</v>
      </c>
      <c r="R206">
        <v>19.235254640090076</v>
      </c>
    </row>
    <row r="207" spans="1:18" x14ac:dyDescent="0.25">
      <c r="A207" s="1">
        <v>45466</v>
      </c>
      <c r="B207" s="2" t="s">
        <v>24</v>
      </c>
      <c r="C207" s="2" t="s">
        <v>25</v>
      </c>
      <c r="D207" s="2" t="s">
        <v>26</v>
      </c>
      <c r="E207" s="2" t="s">
        <v>38</v>
      </c>
      <c r="F207">
        <v>176167</v>
      </c>
      <c r="G207">
        <v>10868</v>
      </c>
      <c r="H207">
        <v>1936</v>
      </c>
      <c r="I207">
        <v>1164</v>
      </c>
      <c r="J207">
        <v>627</v>
      </c>
      <c r="K207">
        <v>121892.02</v>
      </c>
      <c r="L207">
        <v>4751275.42</v>
      </c>
      <c r="M207" s="2" t="s">
        <v>21</v>
      </c>
      <c r="N207">
        <v>6.1691463213882285</v>
      </c>
      <c r="O207">
        <v>11.215680898049319</v>
      </c>
      <c r="P207">
        <v>17.813765182186234</v>
      </c>
      <c r="Q207">
        <v>194.40513556618819</v>
      </c>
      <c r="R207">
        <v>38.979380438522554</v>
      </c>
    </row>
    <row r="208" spans="1:18" x14ac:dyDescent="0.25">
      <c r="A208" s="1">
        <v>45467</v>
      </c>
      <c r="B208" s="2" t="s">
        <v>24</v>
      </c>
      <c r="C208" s="2" t="s">
        <v>25</v>
      </c>
      <c r="D208" s="2" t="s">
        <v>26</v>
      </c>
      <c r="E208" s="2" t="s">
        <v>38</v>
      </c>
      <c r="F208">
        <v>170905</v>
      </c>
      <c r="G208">
        <v>8986</v>
      </c>
      <c r="H208">
        <v>2123</v>
      </c>
      <c r="I208">
        <v>1289</v>
      </c>
      <c r="J208">
        <v>772</v>
      </c>
      <c r="K208">
        <v>77320.5</v>
      </c>
      <c r="L208">
        <v>3546992.04</v>
      </c>
      <c r="M208" s="2" t="s">
        <v>22</v>
      </c>
      <c r="N208">
        <v>5.2578918112401629</v>
      </c>
      <c r="O208">
        <v>8.6045515245938127</v>
      </c>
      <c r="P208">
        <v>23.625639884264409</v>
      </c>
      <c r="Q208">
        <v>100.15608808290155</v>
      </c>
      <c r="R208">
        <v>45.873889072108952</v>
      </c>
    </row>
    <row r="209" spans="1:18" x14ac:dyDescent="0.25">
      <c r="A209" s="1">
        <v>45468</v>
      </c>
      <c r="B209" s="2" t="s">
        <v>24</v>
      </c>
      <c r="C209" s="2" t="s">
        <v>25</v>
      </c>
      <c r="D209" s="2" t="s">
        <v>26</v>
      </c>
      <c r="E209" s="2" t="s">
        <v>38</v>
      </c>
      <c r="F209">
        <v>92195</v>
      </c>
      <c r="G209">
        <v>6158</v>
      </c>
      <c r="H209">
        <v>1102</v>
      </c>
      <c r="I209">
        <v>514</v>
      </c>
      <c r="J209">
        <v>217</v>
      </c>
      <c r="K209">
        <v>53344.57</v>
      </c>
      <c r="L209">
        <v>1158159.81</v>
      </c>
      <c r="M209" s="2" t="s">
        <v>19</v>
      </c>
      <c r="N209">
        <v>6.6793210043928628</v>
      </c>
      <c r="O209">
        <v>8.6626453393959082</v>
      </c>
      <c r="P209">
        <v>17.895420591101008</v>
      </c>
      <c r="Q209">
        <v>245.82751152073732</v>
      </c>
      <c r="R209">
        <v>21.710922217575284</v>
      </c>
    </row>
    <row r="210" spans="1:18" x14ac:dyDescent="0.25">
      <c r="A210" s="1">
        <v>45469</v>
      </c>
      <c r="B210" s="2" t="s">
        <v>24</v>
      </c>
      <c r="C210" s="2" t="s">
        <v>25</v>
      </c>
      <c r="D210" s="2" t="s">
        <v>26</v>
      </c>
      <c r="E210" s="2" t="s">
        <v>38</v>
      </c>
      <c r="F210">
        <v>144589</v>
      </c>
      <c r="G210">
        <v>11439</v>
      </c>
      <c r="H210">
        <v>2189</v>
      </c>
      <c r="I210">
        <v>1146</v>
      </c>
      <c r="J210">
        <v>674</v>
      </c>
      <c r="K210">
        <v>93882.94</v>
      </c>
      <c r="L210">
        <v>3774177.24</v>
      </c>
      <c r="M210" s="2" t="s">
        <v>22</v>
      </c>
      <c r="N210">
        <v>7.9113902164065042</v>
      </c>
      <c r="O210">
        <v>8.2072681178424691</v>
      </c>
      <c r="P210">
        <v>19.136288137074921</v>
      </c>
      <c r="Q210">
        <v>139.29219584569734</v>
      </c>
      <c r="R210">
        <v>40.200884633566012</v>
      </c>
    </row>
    <row r="211" spans="1:18" x14ac:dyDescent="0.25">
      <c r="A211" s="1">
        <v>45470</v>
      </c>
      <c r="B211" s="2" t="s">
        <v>24</v>
      </c>
      <c r="C211" s="2" t="s">
        <v>25</v>
      </c>
      <c r="D211" s="2" t="s">
        <v>26</v>
      </c>
      <c r="E211" s="2" t="s">
        <v>38</v>
      </c>
      <c r="F211">
        <v>218634</v>
      </c>
      <c r="G211">
        <v>13467</v>
      </c>
      <c r="H211">
        <v>2852</v>
      </c>
      <c r="I211">
        <v>1603</v>
      </c>
      <c r="J211">
        <v>838</v>
      </c>
      <c r="K211">
        <v>196856.04</v>
      </c>
      <c r="L211">
        <v>2571768.14</v>
      </c>
      <c r="M211" s="2" t="s">
        <v>20</v>
      </c>
      <c r="N211">
        <v>6.1596092099124569</v>
      </c>
      <c r="O211">
        <v>14.617660948986412</v>
      </c>
      <c r="P211">
        <v>21.177693621445016</v>
      </c>
      <c r="Q211">
        <v>234.91174224343678</v>
      </c>
      <c r="R211">
        <v>13.064207427925503</v>
      </c>
    </row>
    <row r="212" spans="1:18" x14ac:dyDescent="0.25">
      <c r="A212" s="1">
        <v>45471</v>
      </c>
      <c r="B212" s="2" t="s">
        <v>24</v>
      </c>
      <c r="C212" s="2" t="s">
        <v>25</v>
      </c>
      <c r="D212" s="2" t="s">
        <v>26</v>
      </c>
      <c r="E212" s="2" t="s">
        <v>38</v>
      </c>
      <c r="F212">
        <v>224017</v>
      </c>
      <c r="G212">
        <v>17218</v>
      </c>
      <c r="H212">
        <v>3927</v>
      </c>
      <c r="I212">
        <v>2217</v>
      </c>
      <c r="J212">
        <v>1085</v>
      </c>
      <c r="K212">
        <v>145416.06</v>
      </c>
      <c r="L212">
        <v>7154154.9100000001</v>
      </c>
      <c r="M212" s="2" t="s">
        <v>20</v>
      </c>
      <c r="N212">
        <v>7.6860238285487252</v>
      </c>
      <c r="O212">
        <v>8.4455836914856537</v>
      </c>
      <c r="P212">
        <v>22.80752700662098</v>
      </c>
      <c r="Q212">
        <v>134.02401843317972</v>
      </c>
      <c r="R212">
        <v>49.197832137660725</v>
      </c>
    </row>
    <row r="213" spans="1:18" x14ac:dyDescent="0.25">
      <c r="A213" s="1">
        <v>45472</v>
      </c>
      <c r="B213" s="2" t="s">
        <v>24</v>
      </c>
      <c r="C213" s="2" t="s">
        <v>25</v>
      </c>
      <c r="D213" s="2" t="s">
        <v>26</v>
      </c>
      <c r="E213" s="2" t="s">
        <v>38</v>
      </c>
      <c r="F213">
        <v>99562</v>
      </c>
      <c r="G213">
        <v>5277</v>
      </c>
      <c r="H213">
        <v>1146</v>
      </c>
      <c r="I213">
        <v>694</v>
      </c>
      <c r="J213">
        <v>296</v>
      </c>
      <c r="K213">
        <v>73478.7</v>
      </c>
      <c r="L213">
        <v>920163.38</v>
      </c>
      <c r="M213" s="2" t="s">
        <v>20</v>
      </c>
      <c r="N213">
        <v>5.3002149414435227</v>
      </c>
      <c r="O213">
        <v>13.924332006822057</v>
      </c>
      <c r="P213">
        <v>21.716884593519044</v>
      </c>
      <c r="Q213">
        <v>248.23885135135134</v>
      </c>
      <c r="R213">
        <v>12.522858733211121</v>
      </c>
    </row>
    <row r="214" spans="1:18" x14ac:dyDescent="0.25">
      <c r="A214" s="1">
        <v>45473</v>
      </c>
      <c r="B214" s="2" t="s">
        <v>24</v>
      </c>
      <c r="C214" s="2" t="s">
        <v>25</v>
      </c>
      <c r="D214" s="2" t="s">
        <v>26</v>
      </c>
      <c r="E214" s="2" t="s">
        <v>38</v>
      </c>
      <c r="F214">
        <v>247894</v>
      </c>
      <c r="G214">
        <v>9939</v>
      </c>
      <c r="H214">
        <v>2312</v>
      </c>
      <c r="I214">
        <v>1356</v>
      </c>
      <c r="J214">
        <v>632</v>
      </c>
      <c r="K214">
        <v>174102.28</v>
      </c>
      <c r="L214">
        <v>4208262.5199999996</v>
      </c>
      <c r="M214" s="2" t="s">
        <v>19</v>
      </c>
      <c r="N214">
        <v>4.0093749747876108</v>
      </c>
      <c r="O214">
        <v>17.517082201428714</v>
      </c>
      <c r="P214">
        <v>23.261897575208774</v>
      </c>
      <c r="Q214">
        <v>275.47829113924053</v>
      </c>
      <c r="R214">
        <v>24.171208556257849</v>
      </c>
    </row>
    <row r="215" spans="1:18" x14ac:dyDescent="0.25">
      <c r="A215" s="1">
        <v>45474</v>
      </c>
      <c r="B215" s="2" t="s">
        <v>24</v>
      </c>
      <c r="C215" s="2" t="s">
        <v>25</v>
      </c>
      <c r="D215" s="2" t="s">
        <v>26</v>
      </c>
      <c r="E215" s="2" t="s">
        <v>38</v>
      </c>
      <c r="F215">
        <v>189966</v>
      </c>
      <c r="G215">
        <v>6959</v>
      </c>
      <c r="H215">
        <v>1711</v>
      </c>
      <c r="I215">
        <v>797</v>
      </c>
      <c r="J215">
        <v>357</v>
      </c>
      <c r="K215">
        <v>128422.24</v>
      </c>
      <c r="L215">
        <v>2524973.42</v>
      </c>
      <c r="M215" s="2" t="s">
        <v>23</v>
      </c>
      <c r="N215">
        <v>3.6632871145362853</v>
      </c>
      <c r="O215">
        <v>18.454122718781434</v>
      </c>
      <c r="P215">
        <v>24.586865929012788</v>
      </c>
      <c r="Q215">
        <v>359.72616246498603</v>
      </c>
      <c r="R215">
        <v>19.661496482229246</v>
      </c>
    </row>
    <row r="216" spans="1:18" x14ac:dyDescent="0.25">
      <c r="A216" s="1">
        <v>45475</v>
      </c>
      <c r="B216" s="2" t="s">
        <v>24</v>
      </c>
      <c r="C216" s="2" t="s">
        <v>25</v>
      </c>
      <c r="D216" s="2" t="s">
        <v>26</v>
      </c>
      <c r="E216" s="2" t="s">
        <v>38</v>
      </c>
      <c r="F216">
        <v>290368</v>
      </c>
      <c r="G216">
        <v>17043</v>
      </c>
      <c r="H216">
        <v>2956</v>
      </c>
      <c r="I216">
        <v>1912</v>
      </c>
      <c r="J216">
        <v>1082</v>
      </c>
      <c r="K216">
        <v>182544.6</v>
      </c>
      <c r="L216">
        <v>3348574.79</v>
      </c>
      <c r="M216" s="2" t="s">
        <v>23</v>
      </c>
      <c r="N216">
        <v>5.8694484240687679</v>
      </c>
      <c r="O216">
        <v>10.710825558880479</v>
      </c>
      <c r="P216">
        <v>17.344364255119405</v>
      </c>
      <c r="Q216">
        <v>168.71035120147874</v>
      </c>
      <c r="R216">
        <v>18.343872072907114</v>
      </c>
    </row>
    <row r="217" spans="1:18" x14ac:dyDescent="0.25">
      <c r="A217" s="1">
        <v>45476</v>
      </c>
      <c r="B217" s="2" t="s">
        <v>24</v>
      </c>
      <c r="C217" s="2" t="s">
        <v>25</v>
      </c>
      <c r="D217" s="2" t="s">
        <v>26</v>
      </c>
      <c r="E217" s="2" t="s">
        <v>38</v>
      </c>
      <c r="F217">
        <v>98624</v>
      </c>
      <c r="G217">
        <v>5398</v>
      </c>
      <c r="H217">
        <v>1025</v>
      </c>
      <c r="I217">
        <v>555</v>
      </c>
      <c r="J217">
        <v>234</v>
      </c>
      <c r="K217">
        <v>58644.23</v>
      </c>
      <c r="L217">
        <v>1605697.96</v>
      </c>
      <c r="M217" s="2" t="s">
        <v>21</v>
      </c>
      <c r="N217">
        <v>5.4733127839065538</v>
      </c>
      <c r="O217">
        <v>10.864066320859578</v>
      </c>
      <c r="P217">
        <v>18.988514264542424</v>
      </c>
      <c r="Q217">
        <v>250.61636752136752</v>
      </c>
      <c r="R217">
        <v>27.380323008759767</v>
      </c>
    </row>
    <row r="218" spans="1:18" x14ac:dyDescent="0.25">
      <c r="A218" s="1">
        <v>45477</v>
      </c>
      <c r="B218" s="2" t="s">
        <v>24</v>
      </c>
      <c r="C218" s="2" t="s">
        <v>25</v>
      </c>
      <c r="D218" s="2" t="s">
        <v>26</v>
      </c>
      <c r="E218" s="2" t="s">
        <v>38</v>
      </c>
      <c r="F218">
        <v>185544</v>
      </c>
      <c r="G218">
        <v>8967</v>
      </c>
      <c r="H218">
        <v>1881</v>
      </c>
      <c r="I218">
        <v>974</v>
      </c>
      <c r="J218">
        <v>497</v>
      </c>
      <c r="K218">
        <v>143891.23000000001</v>
      </c>
      <c r="L218">
        <v>2013575.82</v>
      </c>
      <c r="M218" s="2" t="s">
        <v>20</v>
      </c>
      <c r="N218">
        <v>4.832815935842711</v>
      </c>
      <c r="O218">
        <v>16.046752537080408</v>
      </c>
      <c r="P218">
        <v>20.976915356306456</v>
      </c>
      <c r="Q218">
        <v>289.51957746478877</v>
      </c>
      <c r="R218">
        <v>13.993735545939805</v>
      </c>
    </row>
    <row r="219" spans="1:18" x14ac:dyDescent="0.25">
      <c r="A219" s="1">
        <v>45478</v>
      </c>
      <c r="B219" s="2" t="s">
        <v>24</v>
      </c>
      <c r="C219" s="2" t="s">
        <v>25</v>
      </c>
      <c r="D219" s="2" t="s">
        <v>26</v>
      </c>
      <c r="E219" s="2" t="s">
        <v>38</v>
      </c>
      <c r="F219">
        <v>64345</v>
      </c>
      <c r="G219">
        <v>2893</v>
      </c>
      <c r="H219">
        <v>673</v>
      </c>
      <c r="I219">
        <v>399</v>
      </c>
      <c r="J219">
        <v>231</v>
      </c>
      <c r="K219">
        <v>58397.08</v>
      </c>
      <c r="L219">
        <v>1512057.86</v>
      </c>
      <c r="M219" s="2" t="s">
        <v>21</v>
      </c>
      <c r="N219">
        <v>4.4960758411687003</v>
      </c>
      <c r="O219">
        <v>20.185648116142413</v>
      </c>
      <c r="P219">
        <v>23.263048738333911</v>
      </c>
      <c r="Q219">
        <v>252.80121212121213</v>
      </c>
      <c r="R219">
        <v>25.892696347146124</v>
      </c>
    </row>
    <row r="220" spans="1:18" x14ac:dyDescent="0.25">
      <c r="A220" s="1">
        <v>45479</v>
      </c>
      <c r="B220" s="2" t="s">
        <v>24</v>
      </c>
      <c r="C220" s="2" t="s">
        <v>25</v>
      </c>
      <c r="D220" s="2" t="s">
        <v>26</v>
      </c>
      <c r="E220" s="2" t="s">
        <v>38</v>
      </c>
      <c r="F220">
        <v>260059</v>
      </c>
      <c r="G220">
        <v>15459</v>
      </c>
      <c r="H220">
        <v>2859</v>
      </c>
      <c r="I220">
        <v>1616</v>
      </c>
      <c r="J220">
        <v>748</v>
      </c>
      <c r="K220">
        <v>238169.83</v>
      </c>
      <c r="L220">
        <v>3760809.01</v>
      </c>
      <c r="M220" s="2" t="s">
        <v>22</v>
      </c>
      <c r="N220">
        <v>5.9444203046231818</v>
      </c>
      <c r="O220">
        <v>15.406548289022576</v>
      </c>
      <c r="P220">
        <v>18.494081117795456</v>
      </c>
      <c r="Q220">
        <v>318.40886363636361</v>
      </c>
      <c r="R220">
        <v>15.790450914794707</v>
      </c>
    </row>
    <row r="221" spans="1:18" x14ac:dyDescent="0.25">
      <c r="A221" s="1">
        <v>45480</v>
      </c>
      <c r="B221" s="2" t="s">
        <v>24</v>
      </c>
      <c r="C221" s="2" t="s">
        <v>25</v>
      </c>
      <c r="D221" s="2" t="s">
        <v>26</v>
      </c>
      <c r="E221" s="2" t="s">
        <v>38</v>
      </c>
      <c r="F221">
        <v>272679</v>
      </c>
      <c r="G221">
        <v>12573</v>
      </c>
      <c r="H221">
        <v>2386</v>
      </c>
      <c r="I221">
        <v>1298</v>
      </c>
      <c r="J221">
        <v>669</v>
      </c>
      <c r="K221">
        <v>125239.22</v>
      </c>
      <c r="L221">
        <v>4864239.68</v>
      </c>
      <c r="M221" s="2" t="s">
        <v>21</v>
      </c>
      <c r="N221">
        <v>4.610916132155392</v>
      </c>
      <c r="O221">
        <v>9.9609655611230412</v>
      </c>
      <c r="P221">
        <v>18.977173307881969</v>
      </c>
      <c r="Q221">
        <v>187.20361733931242</v>
      </c>
      <c r="R221">
        <v>38.839587790470105</v>
      </c>
    </row>
    <row r="222" spans="1:18" x14ac:dyDescent="0.25">
      <c r="A222" s="1">
        <v>45481</v>
      </c>
      <c r="B222" s="2" t="s">
        <v>24</v>
      </c>
      <c r="C222" s="2" t="s">
        <v>25</v>
      </c>
      <c r="D222" s="2" t="s">
        <v>26</v>
      </c>
      <c r="E222" s="2" t="s">
        <v>38</v>
      </c>
      <c r="F222">
        <v>248350</v>
      </c>
      <c r="G222">
        <v>16741</v>
      </c>
      <c r="H222">
        <v>2897</v>
      </c>
      <c r="I222">
        <v>1713</v>
      </c>
      <c r="J222">
        <v>861</v>
      </c>
      <c r="K222">
        <v>217164.85</v>
      </c>
      <c r="L222">
        <v>3498930.88</v>
      </c>
      <c r="M222" s="2" t="s">
        <v>22</v>
      </c>
      <c r="N222">
        <v>6.7408898731628755</v>
      </c>
      <c r="O222">
        <v>12.972035720685742</v>
      </c>
      <c r="P222">
        <v>17.30482050056747</v>
      </c>
      <c r="Q222">
        <v>252.22398373983739</v>
      </c>
      <c r="R222">
        <v>16.111865617294878</v>
      </c>
    </row>
    <row r="223" spans="1:18" x14ac:dyDescent="0.25">
      <c r="A223" s="1">
        <v>45482</v>
      </c>
      <c r="B223" s="2" t="s">
        <v>24</v>
      </c>
      <c r="C223" s="2" t="s">
        <v>25</v>
      </c>
      <c r="D223" s="2" t="s">
        <v>26</v>
      </c>
      <c r="E223" s="2" t="s">
        <v>38</v>
      </c>
      <c r="F223">
        <v>177393</v>
      </c>
      <c r="G223">
        <v>7806</v>
      </c>
      <c r="H223">
        <v>1826</v>
      </c>
      <c r="I223">
        <v>1016</v>
      </c>
      <c r="J223">
        <v>471</v>
      </c>
      <c r="K223">
        <v>138014.22</v>
      </c>
      <c r="L223">
        <v>3729596.77</v>
      </c>
      <c r="M223" s="2" t="s">
        <v>22</v>
      </c>
      <c r="N223">
        <v>4.400399113832</v>
      </c>
      <c r="O223">
        <v>17.680530361260569</v>
      </c>
      <c r="P223">
        <v>23.392262362285422</v>
      </c>
      <c r="Q223">
        <v>293.02382165605098</v>
      </c>
      <c r="R223">
        <v>27.023278978064724</v>
      </c>
    </row>
    <row r="224" spans="1:18" x14ac:dyDescent="0.25">
      <c r="A224" s="1">
        <v>45483</v>
      </c>
      <c r="B224" s="2" t="s">
        <v>24</v>
      </c>
      <c r="C224" s="2" t="s">
        <v>25</v>
      </c>
      <c r="D224" s="2" t="s">
        <v>26</v>
      </c>
      <c r="E224" s="2" t="s">
        <v>38</v>
      </c>
      <c r="F224">
        <v>151029</v>
      </c>
      <c r="G224">
        <v>9303</v>
      </c>
      <c r="H224">
        <v>1887</v>
      </c>
      <c r="I224">
        <v>1057</v>
      </c>
      <c r="J224">
        <v>498</v>
      </c>
      <c r="K224">
        <v>70776.38</v>
      </c>
      <c r="L224">
        <v>1931400.27</v>
      </c>
      <c r="M224" s="2" t="s">
        <v>22</v>
      </c>
      <c r="N224">
        <v>6.1597441550960408</v>
      </c>
      <c r="O224">
        <v>7.6079092765774483</v>
      </c>
      <c r="P224">
        <v>20.283779425991614</v>
      </c>
      <c r="Q224">
        <v>142.12124497991968</v>
      </c>
      <c r="R224">
        <v>27.28876879546538</v>
      </c>
    </row>
    <row r="225" spans="1:18" x14ac:dyDescent="0.25">
      <c r="A225" s="1">
        <v>45484</v>
      </c>
      <c r="B225" s="2" t="s">
        <v>24</v>
      </c>
      <c r="C225" s="2" t="s">
        <v>25</v>
      </c>
      <c r="D225" s="2" t="s">
        <v>26</v>
      </c>
      <c r="E225" s="2" t="s">
        <v>38</v>
      </c>
      <c r="F225">
        <v>53745</v>
      </c>
      <c r="G225">
        <v>4296</v>
      </c>
      <c r="H225">
        <v>787</v>
      </c>
      <c r="I225">
        <v>354</v>
      </c>
      <c r="J225">
        <v>145</v>
      </c>
      <c r="K225">
        <v>28330.69</v>
      </c>
      <c r="L225">
        <v>567612.72</v>
      </c>
      <c r="M225" s="2" t="s">
        <v>20</v>
      </c>
      <c r="N225">
        <v>7.9933017024839517</v>
      </c>
      <c r="O225">
        <v>6.5946671322160144</v>
      </c>
      <c r="P225">
        <v>18.319366852886407</v>
      </c>
      <c r="Q225">
        <v>195.38406896551723</v>
      </c>
      <c r="R225">
        <v>20.035259289484301</v>
      </c>
    </row>
    <row r="226" spans="1:18" x14ac:dyDescent="0.25">
      <c r="A226" s="1">
        <v>45485</v>
      </c>
      <c r="B226" s="2" t="s">
        <v>24</v>
      </c>
      <c r="C226" s="2" t="s">
        <v>25</v>
      </c>
      <c r="D226" s="2" t="s">
        <v>26</v>
      </c>
      <c r="E226" s="2" t="s">
        <v>38</v>
      </c>
      <c r="F226">
        <v>81985</v>
      </c>
      <c r="G226">
        <v>2676</v>
      </c>
      <c r="H226">
        <v>589</v>
      </c>
      <c r="I226">
        <v>334</v>
      </c>
      <c r="J226">
        <v>155</v>
      </c>
      <c r="K226">
        <v>39730.86</v>
      </c>
      <c r="L226">
        <v>1134386.5</v>
      </c>
      <c r="M226" s="2" t="s">
        <v>21</v>
      </c>
      <c r="N226">
        <v>3.2640117094590471</v>
      </c>
      <c r="O226">
        <v>14.847107623318387</v>
      </c>
      <c r="P226">
        <v>22.010463378176382</v>
      </c>
      <c r="Q226">
        <v>256.32812903225806</v>
      </c>
      <c r="R226">
        <v>28.551773105339276</v>
      </c>
    </row>
    <row r="227" spans="1:18" x14ac:dyDescent="0.25">
      <c r="A227" s="1">
        <v>45486</v>
      </c>
      <c r="B227" s="2" t="s">
        <v>24</v>
      </c>
      <c r="C227" s="2" t="s">
        <v>25</v>
      </c>
      <c r="D227" s="2" t="s">
        <v>26</v>
      </c>
      <c r="E227" s="2" t="s">
        <v>38</v>
      </c>
      <c r="F227">
        <v>101535</v>
      </c>
      <c r="G227">
        <v>3234</v>
      </c>
      <c r="H227">
        <v>704</v>
      </c>
      <c r="I227">
        <v>418</v>
      </c>
      <c r="J227">
        <v>167</v>
      </c>
      <c r="K227">
        <v>49643.44</v>
      </c>
      <c r="L227">
        <v>538637.71</v>
      </c>
      <c r="M227" s="2" t="s">
        <v>23</v>
      </c>
      <c r="N227">
        <v>3.185108583247156</v>
      </c>
      <c r="O227">
        <v>15.350476190476192</v>
      </c>
      <c r="P227">
        <v>21.768707482993197</v>
      </c>
      <c r="Q227">
        <v>297.26610778443114</v>
      </c>
      <c r="R227">
        <v>10.850128637338587</v>
      </c>
    </row>
    <row r="228" spans="1:18" x14ac:dyDescent="0.25">
      <c r="A228" s="1">
        <v>45487</v>
      </c>
      <c r="B228" s="2" t="s">
        <v>24</v>
      </c>
      <c r="C228" s="2" t="s">
        <v>25</v>
      </c>
      <c r="D228" s="2" t="s">
        <v>26</v>
      </c>
      <c r="E228" s="2" t="s">
        <v>38</v>
      </c>
      <c r="F228">
        <v>56203</v>
      </c>
      <c r="G228">
        <v>3399</v>
      </c>
      <c r="H228">
        <v>526</v>
      </c>
      <c r="I228">
        <v>282</v>
      </c>
      <c r="J228">
        <v>124</v>
      </c>
      <c r="K228">
        <v>50748.12</v>
      </c>
      <c r="L228">
        <v>703721.34</v>
      </c>
      <c r="M228" s="2" t="s">
        <v>21</v>
      </c>
      <c r="N228">
        <v>6.0477198726046648</v>
      </c>
      <c r="O228">
        <v>14.930308914386584</v>
      </c>
      <c r="P228">
        <v>15.475139746984407</v>
      </c>
      <c r="Q228">
        <v>409.25903225806456</v>
      </c>
      <c r="R228">
        <v>13.86694403654756</v>
      </c>
    </row>
    <row r="229" spans="1:18" x14ac:dyDescent="0.25">
      <c r="A229" s="1">
        <v>45488</v>
      </c>
      <c r="B229" s="2" t="s">
        <v>24</v>
      </c>
      <c r="C229" s="2" t="s">
        <v>25</v>
      </c>
      <c r="D229" s="2" t="s">
        <v>26</v>
      </c>
      <c r="E229" s="2" t="s">
        <v>38</v>
      </c>
      <c r="F229">
        <v>172571</v>
      </c>
      <c r="G229">
        <v>12649</v>
      </c>
      <c r="H229">
        <v>2920</v>
      </c>
      <c r="I229">
        <v>1512</v>
      </c>
      <c r="J229">
        <v>709</v>
      </c>
      <c r="K229">
        <v>144033.44</v>
      </c>
      <c r="L229">
        <v>4185547.5</v>
      </c>
      <c r="M229" s="2" t="s">
        <v>19</v>
      </c>
      <c r="N229">
        <v>7.3297367460349649</v>
      </c>
      <c r="O229">
        <v>11.386942841331331</v>
      </c>
      <c r="P229">
        <v>23.084828840224525</v>
      </c>
      <c r="Q229">
        <v>203.1501269393512</v>
      </c>
      <c r="R229">
        <v>29.059553809170982</v>
      </c>
    </row>
    <row r="230" spans="1:18" x14ac:dyDescent="0.25">
      <c r="A230" s="1">
        <v>45489</v>
      </c>
      <c r="B230" s="2" t="s">
        <v>24</v>
      </c>
      <c r="C230" s="2" t="s">
        <v>25</v>
      </c>
      <c r="D230" s="2" t="s">
        <v>26</v>
      </c>
      <c r="E230" s="2" t="s">
        <v>38</v>
      </c>
      <c r="F230">
        <v>206620</v>
      </c>
      <c r="G230">
        <v>15320</v>
      </c>
      <c r="H230">
        <v>3284</v>
      </c>
      <c r="I230">
        <v>2077</v>
      </c>
      <c r="J230">
        <v>936</v>
      </c>
      <c r="K230">
        <v>107031.96</v>
      </c>
      <c r="L230">
        <v>4032427.25</v>
      </c>
      <c r="M230" s="2" t="s">
        <v>19</v>
      </c>
      <c r="N230">
        <v>7.4145774852386017</v>
      </c>
      <c r="O230">
        <v>6.9864203655352481</v>
      </c>
      <c r="P230">
        <v>21.436031331592691</v>
      </c>
      <c r="Q230">
        <v>114.35038461538463</v>
      </c>
      <c r="R230">
        <v>37.674982780844147</v>
      </c>
    </row>
    <row r="231" spans="1:18" x14ac:dyDescent="0.25">
      <c r="A231" s="1">
        <v>45490</v>
      </c>
      <c r="B231" s="2" t="s">
        <v>24</v>
      </c>
      <c r="C231" s="2" t="s">
        <v>25</v>
      </c>
      <c r="D231" s="2" t="s">
        <v>26</v>
      </c>
      <c r="E231" s="2" t="s">
        <v>38</v>
      </c>
      <c r="F231">
        <v>238579</v>
      </c>
      <c r="G231">
        <v>11277</v>
      </c>
      <c r="H231">
        <v>1997</v>
      </c>
      <c r="I231">
        <v>942</v>
      </c>
      <c r="J231">
        <v>481</v>
      </c>
      <c r="K231">
        <v>200472.94</v>
      </c>
      <c r="L231">
        <v>1996665.29</v>
      </c>
      <c r="M231" s="2" t="s">
        <v>19</v>
      </c>
      <c r="N231">
        <v>4.7267362173535812</v>
      </c>
      <c r="O231">
        <v>17.777151724749491</v>
      </c>
      <c r="P231">
        <v>17.708610446040613</v>
      </c>
      <c r="Q231">
        <v>416.78365904365904</v>
      </c>
      <c r="R231">
        <v>9.9597745710717867</v>
      </c>
    </row>
    <row r="232" spans="1:18" x14ac:dyDescent="0.25">
      <c r="A232" s="1">
        <v>45491</v>
      </c>
      <c r="B232" s="2" t="s">
        <v>24</v>
      </c>
      <c r="C232" s="2" t="s">
        <v>25</v>
      </c>
      <c r="D232" s="2" t="s">
        <v>26</v>
      </c>
      <c r="E232" s="2" t="s">
        <v>38</v>
      </c>
      <c r="F232">
        <v>299596</v>
      </c>
      <c r="G232">
        <v>13778</v>
      </c>
      <c r="H232">
        <v>2469</v>
      </c>
      <c r="I232">
        <v>1401</v>
      </c>
      <c r="J232">
        <v>803</v>
      </c>
      <c r="K232">
        <v>133225.18</v>
      </c>
      <c r="L232">
        <v>4364604.8499999996</v>
      </c>
      <c r="M232" s="2" t="s">
        <v>22</v>
      </c>
      <c r="N232">
        <v>4.5988597978611194</v>
      </c>
      <c r="O232">
        <v>9.6694135578458411</v>
      </c>
      <c r="P232">
        <v>17.919872260124837</v>
      </c>
      <c r="Q232">
        <v>165.90931506849313</v>
      </c>
      <c r="R232">
        <v>32.76111054982249</v>
      </c>
    </row>
    <row r="233" spans="1:18" x14ac:dyDescent="0.25">
      <c r="A233" s="1">
        <v>45492</v>
      </c>
      <c r="B233" s="2" t="s">
        <v>24</v>
      </c>
      <c r="C233" s="2" t="s">
        <v>25</v>
      </c>
      <c r="D233" s="2" t="s">
        <v>26</v>
      </c>
      <c r="E233" s="2" t="s">
        <v>38</v>
      </c>
      <c r="F233">
        <v>289584</v>
      </c>
      <c r="G233">
        <v>9928</v>
      </c>
      <c r="H233">
        <v>1754</v>
      </c>
      <c r="I233">
        <v>852</v>
      </c>
      <c r="J233">
        <v>495</v>
      </c>
      <c r="K233">
        <v>233553.6</v>
      </c>
      <c r="L233">
        <v>1607665.33</v>
      </c>
      <c r="M233" s="2" t="s">
        <v>20</v>
      </c>
      <c r="N233">
        <v>3.4283662080777946</v>
      </c>
      <c r="O233">
        <v>23.524738114423851</v>
      </c>
      <c r="P233">
        <v>17.66720386784851</v>
      </c>
      <c r="Q233">
        <v>471.82545454545453</v>
      </c>
      <c r="R233">
        <v>6.8834962509676583</v>
      </c>
    </row>
    <row r="234" spans="1:18" x14ac:dyDescent="0.25">
      <c r="A234" s="1">
        <v>45493</v>
      </c>
      <c r="B234" s="2" t="s">
        <v>24</v>
      </c>
      <c r="C234" s="2" t="s">
        <v>25</v>
      </c>
      <c r="D234" s="2" t="s">
        <v>26</v>
      </c>
      <c r="E234" s="2" t="s">
        <v>38</v>
      </c>
      <c r="F234">
        <v>272890</v>
      </c>
      <c r="G234">
        <v>10309</v>
      </c>
      <c r="H234">
        <v>2371</v>
      </c>
      <c r="I234">
        <v>1461</v>
      </c>
      <c r="J234">
        <v>865</v>
      </c>
      <c r="K234">
        <v>248690.64</v>
      </c>
      <c r="L234">
        <v>6675094.5599999996</v>
      </c>
      <c r="M234" s="2" t="s">
        <v>19</v>
      </c>
      <c r="N234">
        <v>3.7777126314632272</v>
      </c>
      <c r="O234">
        <v>24.123643418372296</v>
      </c>
      <c r="P234">
        <v>22.999320981666504</v>
      </c>
      <c r="Q234">
        <v>287.50363005780349</v>
      </c>
      <c r="R234">
        <v>26.8409561373118</v>
      </c>
    </row>
    <row r="235" spans="1:18" x14ac:dyDescent="0.25">
      <c r="A235" s="1">
        <v>45494</v>
      </c>
      <c r="B235" s="2" t="s">
        <v>24</v>
      </c>
      <c r="C235" s="2" t="s">
        <v>25</v>
      </c>
      <c r="D235" s="2" t="s">
        <v>26</v>
      </c>
      <c r="E235" s="2" t="s">
        <v>38</v>
      </c>
      <c r="F235">
        <v>285905</v>
      </c>
      <c r="G235">
        <v>8585</v>
      </c>
      <c r="H235">
        <v>1949</v>
      </c>
      <c r="I235">
        <v>993</v>
      </c>
      <c r="J235">
        <v>582</v>
      </c>
      <c r="K235">
        <v>254211.76</v>
      </c>
      <c r="L235">
        <v>3218555.65</v>
      </c>
      <c r="M235" s="2" t="s">
        <v>19</v>
      </c>
      <c r="N235">
        <v>3.0027456672670993</v>
      </c>
      <c r="O235">
        <v>29.61115433896331</v>
      </c>
      <c r="P235">
        <v>22.702387885847408</v>
      </c>
      <c r="Q235">
        <v>436.78996563573884</v>
      </c>
      <c r="R235">
        <v>12.6609235151041</v>
      </c>
    </row>
    <row r="236" spans="1:18" x14ac:dyDescent="0.25">
      <c r="A236" s="1">
        <v>45495</v>
      </c>
      <c r="B236" s="2" t="s">
        <v>24</v>
      </c>
      <c r="C236" s="2" t="s">
        <v>25</v>
      </c>
      <c r="D236" s="2" t="s">
        <v>26</v>
      </c>
      <c r="E236" s="2" t="s">
        <v>38</v>
      </c>
      <c r="F236">
        <v>92579</v>
      </c>
      <c r="G236">
        <v>6825</v>
      </c>
      <c r="H236">
        <v>1236</v>
      </c>
      <c r="I236">
        <v>768</v>
      </c>
      <c r="J236">
        <v>372</v>
      </c>
      <c r="K236">
        <v>46340.62</v>
      </c>
      <c r="L236">
        <v>2501009.92</v>
      </c>
      <c r="M236" s="2" t="s">
        <v>19</v>
      </c>
      <c r="N236">
        <v>7.3720822216701416</v>
      </c>
      <c r="O236">
        <v>6.7898344322344331</v>
      </c>
      <c r="P236">
        <v>18.109890109890109</v>
      </c>
      <c r="Q236">
        <v>124.57155913978495</v>
      </c>
      <c r="R236">
        <v>53.970143688194071</v>
      </c>
    </row>
    <row r="237" spans="1:18" x14ac:dyDescent="0.25">
      <c r="A237" s="1">
        <v>45496</v>
      </c>
      <c r="B237" s="2" t="s">
        <v>24</v>
      </c>
      <c r="C237" s="2" t="s">
        <v>25</v>
      </c>
      <c r="D237" s="2" t="s">
        <v>26</v>
      </c>
      <c r="E237" s="2" t="s">
        <v>38</v>
      </c>
      <c r="F237">
        <v>262199</v>
      </c>
      <c r="G237">
        <v>20171</v>
      </c>
      <c r="H237">
        <v>3719</v>
      </c>
      <c r="I237">
        <v>2289</v>
      </c>
      <c r="J237">
        <v>1259</v>
      </c>
      <c r="K237">
        <v>108832.62</v>
      </c>
      <c r="L237">
        <v>8859616.1300000008</v>
      </c>
      <c r="M237" s="2" t="s">
        <v>20</v>
      </c>
      <c r="N237">
        <v>7.6930117963836624</v>
      </c>
      <c r="O237">
        <v>5.3954994794506961</v>
      </c>
      <c r="P237">
        <v>18.437360567150858</v>
      </c>
      <c r="Q237">
        <v>86.443701350277991</v>
      </c>
      <c r="R237">
        <v>81.405888510264674</v>
      </c>
    </row>
    <row r="238" spans="1:18" x14ac:dyDescent="0.25">
      <c r="A238" s="1">
        <v>45497</v>
      </c>
      <c r="B238" s="2" t="s">
        <v>24</v>
      </c>
      <c r="C238" s="2" t="s">
        <v>25</v>
      </c>
      <c r="D238" s="2" t="s">
        <v>26</v>
      </c>
      <c r="E238" s="2" t="s">
        <v>38</v>
      </c>
      <c r="F238">
        <v>198212</v>
      </c>
      <c r="G238">
        <v>6874</v>
      </c>
      <c r="H238">
        <v>1415</v>
      </c>
      <c r="I238">
        <v>799</v>
      </c>
      <c r="J238">
        <v>462</v>
      </c>
      <c r="K238">
        <v>108824.3</v>
      </c>
      <c r="L238">
        <v>3333666.45</v>
      </c>
      <c r="M238" s="2" t="s">
        <v>22</v>
      </c>
      <c r="N238">
        <v>3.4680039553609268</v>
      </c>
      <c r="O238">
        <v>15.831291824265348</v>
      </c>
      <c r="P238">
        <v>20.58481233633983</v>
      </c>
      <c r="Q238">
        <v>235.5504329004329</v>
      </c>
      <c r="R238">
        <v>30.63347478458396</v>
      </c>
    </row>
    <row r="239" spans="1:18" x14ac:dyDescent="0.25">
      <c r="A239" s="1">
        <v>45498</v>
      </c>
      <c r="B239" s="2" t="s">
        <v>24</v>
      </c>
      <c r="C239" s="2" t="s">
        <v>25</v>
      </c>
      <c r="D239" s="2" t="s">
        <v>26</v>
      </c>
      <c r="E239" s="2" t="s">
        <v>38</v>
      </c>
      <c r="F239">
        <v>118809</v>
      </c>
      <c r="G239">
        <v>7312</v>
      </c>
      <c r="H239">
        <v>1760</v>
      </c>
      <c r="I239">
        <v>995</v>
      </c>
      <c r="J239">
        <v>443</v>
      </c>
      <c r="K239">
        <v>100651.52</v>
      </c>
      <c r="L239">
        <v>2996388.37</v>
      </c>
      <c r="M239" s="2" t="s">
        <v>19</v>
      </c>
      <c r="N239">
        <v>6.1544159112525145</v>
      </c>
      <c r="O239">
        <v>13.765251641137857</v>
      </c>
      <c r="P239">
        <v>24.070021881838073</v>
      </c>
      <c r="Q239">
        <v>227.20433408577878</v>
      </c>
      <c r="R239">
        <v>29.769926673735281</v>
      </c>
    </row>
    <row r="240" spans="1:18" x14ac:dyDescent="0.25">
      <c r="A240" s="1">
        <v>45499</v>
      </c>
      <c r="B240" s="2" t="s">
        <v>24</v>
      </c>
      <c r="C240" s="2" t="s">
        <v>25</v>
      </c>
      <c r="D240" s="2" t="s">
        <v>26</v>
      </c>
      <c r="E240" s="2" t="s">
        <v>38</v>
      </c>
      <c r="F240">
        <v>182889</v>
      </c>
      <c r="G240">
        <v>5572</v>
      </c>
      <c r="H240">
        <v>878</v>
      </c>
      <c r="I240">
        <v>401</v>
      </c>
      <c r="J240">
        <v>226</v>
      </c>
      <c r="K240">
        <v>93158.25</v>
      </c>
      <c r="L240">
        <v>1525793.32</v>
      </c>
      <c r="M240" s="2" t="s">
        <v>20</v>
      </c>
      <c r="N240">
        <v>3.0466567152753856</v>
      </c>
      <c r="O240">
        <v>16.718996769562096</v>
      </c>
      <c r="P240">
        <v>15.757358219669779</v>
      </c>
      <c r="Q240">
        <v>412.20464601769913</v>
      </c>
      <c r="R240">
        <v>16.378509901162808</v>
      </c>
    </row>
    <row r="241" spans="1:18" x14ac:dyDescent="0.25">
      <c r="A241" s="1">
        <v>45500</v>
      </c>
      <c r="B241" s="2" t="s">
        <v>24</v>
      </c>
      <c r="C241" s="2" t="s">
        <v>25</v>
      </c>
      <c r="D241" s="2" t="s">
        <v>26</v>
      </c>
      <c r="E241" s="2" t="s">
        <v>38</v>
      </c>
      <c r="F241">
        <v>85016</v>
      </c>
      <c r="G241">
        <v>3976</v>
      </c>
      <c r="H241">
        <v>731</v>
      </c>
      <c r="I241">
        <v>365</v>
      </c>
      <c r="J241">
        <v>182</v>
      </c>
      <c r="K241">
        <v>39557.93</v>
      </c>
      <c r="L241">
        <v>1358545.74</v>
      </c>
      <c r="M241" s="2" t="s">
        <v>23</v>
      </c>
      <c r="N241">
        <v>4.676766726263291</v>
      </c>
      <c r="O241">
        <v>9.949177565392354</v>
      </c>
      <c r="P241">
        <v>18.385311871227366</v>
      </c>
      <c r="Q241">
        <v>217.35126373626375</v>
      </c>
      <c r="R241">
        <v>34.343195915458672</v>
      </c>
    </row>
    <row r="242" spans="1:18" x14ac:dyDescent="0.25">
      <c r="A242" s="1">
        <v>45501</v>
      </c>
      <c r="B242" s="2" t="s">
        <v>24</v>
      </c>
      <c r="C242" s="2" t="s">
        <v>25</v>
      </c>
      <c r="D242" s="2" t="s">
        <v>26</v>
      </c>
      <c r="E242" s="2" t="s">
        <v>38</v>
      </c>
      <c r="F242">
        <v>136206</v>
      </c>
      <c r="G242">
        <v>8419</v>
      </c>
      <c r="H242">
        <v>2017</v>
      </c>
      <c r="I242">
        <v>1200</v>
      </c>
      <c r="J242">
        <v>719</v>
      </c>
      <c r="K242">
        <v>66697.45</v>
      </c>
      <c r="L242">
        <v>3914237</v>
      </c>
      <c r="M242" s="2" t="s">
        <v>19</v>
      </c>
      <c r="N242">
        <v>6.1810786602645997</v>
      </c>
      <c r="O242">
        <v>7.9222532367264513</v>
      </c>
      <c r="P242">
        <v>23.957714692956408</v>
      </c>
      <c r="Q242">
        <v>92.764186369958267</v>
      </c>
      <c r="R242">
        <v>58.686456528697875</v>
      </c>
    </row>
    <row r="243" spans="1:18" x14ac:dyDescent="0.25">
      <c r="A243" s="1">
        <v>45502</v>
      </c>
      <c r="B243" s="2" t="s">
        <v>24</v>
      </c>
      <c r="C243" s="2" t="s">
        <v>25</v>
      </c>
      <c r="D243" s="2" t="s">
        <v>26</v>
      </c>
      <c r="E243" s="2" t="s">
        <v>38</v>
      </c>
      <c r="F243">
        <v>165347</v>
      </c>
      <c r="G243">
        <v>11046</v>
      </c>
      <c r="H243">
        <v>2068</v>
      </c>
      <c r="I243">
        <v>1143</v>
      </c>
      <c r="J243">
        <v>503</v>
      </c>
      <c r="K243">
        <v>143383.04000000001</v>
      </c>
      <c r="L243">
        <v>1991695.9</v>
      </c>
      <c r="M243" s="2" t="s">
        <v>23</v>
      </c>
      <c r="N243">
        <v>6.6804961686634776</v>
      </c>
      <c r="O243">
        <v>12.980539561832337</v>
      </c>
      <c r="P243">
        <v>18.721709216005795</v>
      </c>
      <c r="Q243">
        <v>285.05574552683896</v>
      </c>
      <c r="R243">
        <v>13.890735612803297</v>
      </c>
    </row>
    <row r="244" spans="1:18" x14ac:dyDescent="0.25">
      <c r="A244" s="1">
        <v>45503</v>
      </c>
      <c r="B244" s="2" t="s">
        <v>24</v>
      </c>
      <c r="C244" s="2" t="s">
        <v>25</v>
      </c>
      <c r="D244" s="2" t="s">
        <v>26</v>
      </c>
      <c r="E244" s="2" t="s">
        <v>38</v>
      </c>
      <c r="F244">
        <v>293930</v>
      </c>
      <c r="G244">
        <v>12917</v>
      </c>
      <c r="H244">
        <v>3074</v>
      </c>
      <c r="I244">
        <v>1552</v>
      </c>
      <c r="J244">
        <v>860</v>
      </c>
      <c r="K244">
        <v>135737.98000000001</v>
      </c>
      <c r="L244">
        <v>4957159.97</v>
      </c>
      <c r="M244" s="2" t="s">
        <v>19</v>
      </c>
      <c r="N244">
        <v>4.3945837444289451</v>
      </c>
      <c r="O244">
        <v>10.508475652241234</v>
      </c>
      <c r="P244">
        <v>23.798095533018504</v>
      </c>
      <c r="Q244">
        <v>157.83486046511629</v>
      </c>
      <c r="R244">
        <v>36.520065865132217</v>
      </c>
    </row>
    <row r="245" spans="1:18" x14ac:dyDescent="0.25">
      <c r="A245" s="1">
        <v>45504</v>
      </c>
      <c r="B245" s="2" t="s">
        <v>24</v>
      </c>
      <c r="C245" s="2" t="s">
        <v>25</v>
      </c>
      <c r="D245" s="2" t="s">
        <v>26</v>
      </c>
      <c r="E245" s="2" t="s">
        <v>38</v>
      </c>
      <c r="F245">
        <v>143598</v>
      </c>
      <c r="G245">
        <v>9751</v>
      </c>
      <c r="H245">
        <v>1930</v>
      </c>
      <c r="I245">
        <v>965</v>
      </c>
      <c r="J245">
        <v>442</v>
      </c>
      <c r="K245">
        <v>121893.19</v>
      </c>
      <c r="L245">
        <v>1449676.75</v>
      </c>
      <c r="M245" s="2" t="s">
        <v>22</v>
      </c>
      <c r="N245">
        <v>6.7904845471385391</v>
      </c>
      <c r="O245">
        <v>12.500583529894371</v>
      </c>
      <c r="P245">
        <v>19.792841759819506</v>
      </c>
      <c r="Q245">
        <v>275.77644796380093</v>
      </c>
      <c r="R245">
        <v>11.893008542971105</v>
      </c>
    </row>
    <row r="246" spans="1:18" x14ac:dyDescent="0.25">
      <c r="A246" s="1">
        <v>45505</v>
      </c>
      <c r="B246" s="2" t="s">
        <v>24</v>
      </c>
      <c r="C246" s="2" t="s">
        <v>25</v>
      </c>
      <c r="D246" s="2" t="s">
        <v>26</v>
      </c>
      <c r="E246" s="2" t="s">
        <v>38</v>
      </c>
      <c r="F246">
        <v>54410</v>
      </c>
      <c r="G246">
        <v>4309</v>
      </c>
      <c r="H246">
        <v>693</v>
      </c>
      <c r="I246">
        <v>357</v>
      </c>
      <c r="J246">
        <v>191</v>
      </c>
      <c r="K246">
        <v>48121.46</v>
      </c>
      <c r="L246">
        <v>1063428.31</v>
      </c>
      <c r="M246" s="2" t="s">
        <v>20</v>
      </c>
      <c r="N246">
        <v>7.9195000918948724</v>
      </c>
      <c r="O246">
        <v>11.167663030865629</v>
      </c>
      <c r="P246">
        <v>16.082617776746343</v>
      </c>
      <c r="Q246">
        <v>251.94481675392669</v>
      </c>
      <c r="R246">
        <v>22.098837192387762</v>
      </c>
    </row>
    <row r="247" spans="1:18" x14ac:dyDescent="0.25">
      <c r="A247" s="1">
        <v>45505</v>
      </c>
      <c r="B247" s="2" t="s">
        <v>27</v>
      </c>
      <c r="C247" s="2" t="s">
        <v>28</v>
      </c>
      <c r="D247" s="2" t="s">
        <v>29</v>
      </c>
      <c r="E247" s="2" t="s">
        <v>39</v>
      </c>
      <c r="F247">
        <v>100600</v>
      </c>
      <c r="G247">
        <v>4426</v>
      </c>
      <c r="H247">
        <v>1006</v>
      </c>
      <c r="I247">
        <v>578</v>
      </c>
      <c r="J247">
        <v>315</v>
      </c>
      <c r="K247">
        <v>88124.93</v>
      </c>
      <c r="L247">
        <v>2363533.5</v>
      </c>
      <c r="M247" s="2" t="s">
        <v>23</v>
      </c>
      <c r="N247">
        <v>4.3996023856858848</v>
      </c>
      <c r="O247">
        <v>19.910738816086759</v>
      </c>
      <c r="P247">
        <v>22.729326705829191</v>
      </c>
      <c r="Q247">
        <v>279.76168253968251</v>
      </c>
      <c r="R247">
        <v>26.82025960190834</v>
      </c>
    </row>
    <row r="248" spans="1:18" x14ac:dyDescent="0.25">
      <c r="A248" s="1">
        <v>45506</v>
      </c>
      <c r="B248" s="2" t="s">
        <v>24</v>
      </c>
      <c r="C248" s="2" t="s">
        <v>25</v>
      </c>
      <c r="D248" s="2" t="s">
        <v>26</v>
      </c>
      <c r="E248" s="2" t="s">
        <v>38</v>
      </c>
      <c r="F248">
        <v>132675</v>
      </c>
      <c r="G248">
        <v>10342</v>
      </c>
      <c r="H248">
        <v>1904</v>
      </c>
      <c r="I248">
        <v>862</v>
      </c>
      <c r="J248">
        <v>374</v>
      </c>
      <c r="K248">
        <v>113475.65</v>
      </c>
      <c r="L248">
        <v>1926663.81</v>
      </c>
      <c r="M248" s="2" t="s">
        <v>20</v>
      </c>
      <c r="N248">
        <v>7.7949877520256265</v>
      </c>
      <c r="O248">
        <v>10.97231193192806</v>
      </c>
      <c r="P248">
        <v>18.410365499903307</v>
      </c>
      <c r="Q248">
        <v>303.41082887700532</v>
      </c>
      <c r="R248">
        <v>16.978654098919019</v>
      </c>
    </row>
    <row r="249" spans="1:18" x14ac:dyDescent="0.25">
      <c r="A249" s="1">
        <v>45506</v>
      </c>
      <c r="B249" s="2" t="s">
        <v>27</v>
      </c>
      <c r="C249" s="2" t="s">
        <v>28</v>
      </c>
      <c r="D249" s="2" t="s">
        <v>29</v>
      </c>
      <c r="E249" s="2" t="s">
        <v>38</v>
      </c>
      <c r="F249">
        <v>120721</v>
      </c>
      <c r="G249">
        <v>9109</v>
      </c>
      <c r="H249">
        <v>1747</v>
      </c>
      <c r="I249">
        <v>1023</v>
      </c>
      <c r="J249">
        <v>521</v>
      </c>
      <c r="K249">
        <v>75049.88</v>
      </c>
      <c r="L249">
        <v>2509324.06</v>
      </c>
      <c r="M249" s="2" t="s">
        <v>20</v>
      </c>
      <c r="N249">
        <v>7.5454974693715258</v>
      </c>
      <c r="O249">
        <v>8.2390910088923039</v>
      </c>
      <c r="P249">
        <v>19.178834120100998</v>
      </c>
      <c r="Q249">
        <v>144.0496737044146</v>
      </c>
      <c r="R249">
        <v>33.435417351766581</v>
      </c>
    </row>
    <row r="250" spans="1:18" x14ac:dyDescent="0.25">
      <c r="A250" s="1">
        <v>45507</v>
      </c>
      <c r="B250" s="2" t="s">
        <v>24</v>
      </c>
      <c r="C250" s="2" t="s">
        <v>25</v>
      </c>
      <c r="D250" s="2" t="s">
        <v>26</v>
      </c>
      <c r="E250" s="2" t="s">
        <v>38</v>
      </c>
      <c r="F250">
        <v>200741</v>
      </c>
      <c r="G250">
        <v>11692</v>
      </c>
      <c r="H250">
        <v>2445</v>
      </c>
      <c r="I250">
        <v>1190</v>
      </c>
      <c r="J250">
        <v>664</v>
      </c>
      <c r="K250">
        <v>136500.62</v>
      </c>
      <c r="L250">
        <v>3345576.76</v>
      </c>
      <c r="M250" s="2" t="s">
        <v>23</v>
      </c>
      <c r="N250">
        <v>5.8244205219661156</v>
      </c>
      <c r="O250">
        <v>11.674702360588435</v>
      </c>
      <c r="P250">
        <v>20.911734519329457</v>
      </c>
      <c r="Q250">
        <v>205.57322289156625</v>
      </c>
      <c r="R250">
        <v>24.509608527785442</v>
      </c>
    </row>
    <row r="251" spans="1:18" x14ac:dyDescent="0.25">
      <c r="A251" s="1">
        <v>45507</v>
      </c>
      <c r="B251" s="2" t="s">
        <v>27</v>
      </c>
      <c r="C251" s="2" t="s">
        <v>28</v>
      </c>
      <c r="D251" s="2" t="s">
        <v>29</v>
      </c>
      <c r="E251" s="2" t="s">
        <v>38</v>
      </c>
      <c r="F251">
        <v>208142</v>
      </c>
      <c r="G251">
        <v>16098</v>
      </c>
      <c r="H251">
        <v>3655</v>
      </c>
      <c r="I251">
        <v>2210</v>
      </c>
      <c r="J251">
        <v>1252</v>
      </c>
      <c r="K251">
        <v>141729.43</v>
      </c>
      <c r="L251">
        <v>7709099.5499999998</v>
      </c>
      <c r="M251" s="2" t="s">
        <v>22</v>
      </c>
      <c r="N251">
        <v>7.7341430369651496</v>
      </c>
      <c r="O251">
        <v>8.8041638712883579</v>
      </c>
      <c r="P251">
        <v>22.704683811653624</v>
      </c>
      <c r="Q251">
        <v>113.20242012779552</v>
      </c>
      <c r="R251">
        <v>54.39307524202983</v>
      </c>
    </row>
    <row r="252" spans="1:18" x14ac:dyDescent="0.25">
      <c r="A252" s="1">
        <v>45508</v>
      </c>
      <c r="B252" s="2" t="s">
        <v>24</v>
      </c>
      <c r="C252" s="2" t="s">
        <v>25</v>
      </c>
      <c r="D252" s="2" t="s">
        <v>26</v>
      </c>
      <c r="E252" s="2" t="s">
        <v>38</v>
      </c>
      <c r="F252">
        <v>62326</v>
      </c>
      <c r="G252">
        <v>2288</v>
      </c>
      <c r="H252">
        <v>416</v>
      </c>
      <c r="I252">
        <v>208</v>
      </c>
      <c r="J252">
        <v>97</v>
      </c>
      <c r="K252">
        <v>53808.35</v>
      </c>
      <c r="L252">
        <v>514275.89</v>
      </c>
      <c r="M252" s="2" t="s">
        <v>19</v>
      </c>
      <c r="N252">
        <v>3.6710201200141195</v>
      </c>
      <c r="O252">
        <v>23.517635489510489</v>
      </c>
      <c r="P252">
        <v>18.181818181818183</v>
      </c>
      <c r="Q252">
        <v>554.72525773195878</v>
      </c>
      <c r="R252">
        <v>9.557548038547921</v>
      </c>
    </row>
    <row r="253" spans="1:18" x14ac:dyDescent="0.25">
      <c r="A253" s="1">
        <v>45508</v>
      </c>
      <c r="B253" s="2" t="s">
        <v>27</v>
      </c>
      <c r="C253" s="2" t="s">
        <v>28</v>
      </c>
      <c r="D253" s="2" t="s">
        <v>29</v>
      </c>
      <c r="E253" s="2" t="s">
        <v>39</v>
      </c>
      <c r="F253">
        <v>60178</v>
      </c>
      <c r="G253">
        <v>3164</v>
      </c>
      <c r="H253">
        <v>594</v>
      </c>
      <c r="I253">
        <v>300</v>
      </c>
      <c r="J253">
        <v>141</v>
      </c>
      <c r="K253">
        <v>36780.379999999997</v>
      </c>
      <c r="L253">
        <v>638055.97</v>
      </c>
      <c r="M253" s="2" t="s">
        <v>21</v>
      </c>
      <c r="N253">
        <v>5.2577353850244277</v>
      </c>
      <c r="O253">
        <v>11.624646017699114</v>
      </c>
      <c r="P253">
        <v>18.773704171934259</v>
      </c>
      <c r="Q253">
        <v>260.85375886524821</v>
      </c>
      <c r="R253">
        <v>17.347726423707424</v>
      </c>
    </row>
    <row r="254" spans="1:18" x14ac:dyDescent="0.25">
      <c r="A254" s="1">
        <v>45509</v>
      </c>
      <c r="B254" s="2" t="s">
        <v>24</v>
      </c>
      <c r="C254" s="2" t="s">
        <v>25</v>
      </c>
      <c r="D254" s="2" t="s">
        <v>26</v>
      </c>
      <c r="E254" s="2" t="s">
        <v>38</v>
      </c>
      <c r="F254">
        <v>105561</v>
      </c>
      <c r="G254">
        <v>6091</v>
      </c>
      <c r="H254">
        <v>1210</v>
      </c>
      <c r="I254">
        <v>657</v>
      </c>
      <c r="J254">
        <v>361</v>
      </c>
      <c r="K254">
        <v>58132.88</v>
      </c>
      <c r="L254">
        <v>1085319.27</v>
      </c>
      <c r="M254" s="2" t="s">
        <v>23</v>
      </c>
      <c r="N254">
        <v>5.7701234357385776</v>
      </c>
      <c r="O254">
        <v>9.5440617304219337</v>
      </c>
      <c r="P254">
        <v>19.865375143654575</v>
      </c>
      <c r="Q254">
        <v>161.03290858725762</v>
      </c>
      <c r="R254">
        <v>18.669628444350256</v>
      </c>
    </row>
    <row r="255" spans="1:18" x14ac:dyDescent="0.25">
      <c r="A255" s="1">
        <v>45509</v>
      </c>
      <c r="B255" s="2" t="s">
        <v>27</v>
      </c>
      <c r="C255" s="2" t="s">
        <v>28</v>
      </c>
      <c r="D255" s="2" t="s">
        <v>29</v>
      </c>
      <c r="E255" s="2" t="s">
        <v>38</v>
      </c>
      <c r="F255">
        <v>108128</v>
      </c>
      <c r="G255">
        <v>4562</v>
      </c>
      <c r="H255">
        <v>1033</v>
      </c>
      <c r="I255">
        <v>586</v>
      </c>
      <c r="J255">
        <v>260</v>
      </c>
      <c r="K255">
        <v>58193.29</v>
      </c>
      <c r="L255">
        <v>1634560.79</v>
      </c>
      <c r="M255" s="2" t="s">
        <v>23</v>
      </c>
      <c r="N255">
        <v>4.2190736904409585</v>
      </c>
      <c r="O255">
        <v>12.756091626479614</v>
      </c>
      <c r="P255">
        <v>22.643577378342833</v>
      </c>
      <c r="Q255">
        <v>223.82034615384615</v>
      </c>
      <c r="R255">
        <v>28.088475320780113</v>
      </c>
    </row>
    <row r="256" spans="1:18" x14ac:dyDescent="0.25">
      <c r="A256" s="1">
        <v>45510</v>
      </c>
      <c r="B256" s="2" t="s">
        <v>24</v>
      </c>
      <c r="C256" s="2" t="s">
        <v>25</v>
      </c>
      <c r="D256" s="2" t="s">
        <v>26</v>
      </c>
      <c r="E256" s="2" t="s">
        <v>38</v>
      </c>
      <c r="F256">
        <v>96715</v>
      </c>
      <c r="G256">
        <v>4883</v>
      </c>
      <c r="H256">
        <v>1120</v>
      </c>
      <c r="I256">
        <v>538</v>
      </c>
      <c r="J256">
        <v>232</v>
      </c>
      <c r="K256">
        <v>43537.41</v>
      </c>
      <c r="L256">
        <v>1813996.79</v>
      </c>
      <c r="M256" s="2" t="s">
        <v>21</v>
      </c>
      <c r="N256">
        <v>5.0488548829033757</v>
      </c>
      <c r="O256">
        <v>8.9161191890231422</v>
      </c>
      <c r="P256">
        <v>22.93671922998157</v>
      </c>
      <c r="Q256">
        <v>187.66125000000002</v>
      </c>
      <c r="R256">
        <v>41.665243522754338</v>
      </c>
    </row>
    <row r="257" spans="1:18" x14ac:dyDescent="0.25">
      <c r="A257" s="1">
        <v>45510</v>
      </c>
      <c r="B257" s="2" t="s">
        <v>27</v>
      </c>
      <c r="C257" s="2" t="s">
        <v>28</v>
      </c>
      <c r="D257" s="2" t="s">
        <v>29</v>
      </c>
      <c r="E257" s="2" t="s">
        <v>40</v>
      </c>
      <c r="F257">
        <v>99786</v>
      </c>
      <c r="G257">
        <v>4538</v>
      </c>
      <c r="H257">
        <v>843</v>
      </c>
      <c r="I257">
        <v>475</v>
      </c>
      <c r="J257">
        <v>270</v>
      </c>
      <c r="K257">
        <v>86472.87</v>
      </c>
      <c r="L257">
        <v>1992669.9</v>
      </c>
      <c r="M257" s="2" t="s">
        <v>20</v>
      </c>
      <c r="N257">
        <v>4.5477321467941394</v>
      </c>
      <c r="O257">
        <v>19.055282062582634</v>
      </c>
      <c r="P257">
        <v>18.576465403261349</v>
      </c>
      <c r="Q257">
        <v>320.26988888888889</v>
      </c>
      <c r="R257">
        <v>23.043873760637297</v>
      </c>
    </row>
    <row r="258" spans="1:18" x14ac:dyDescent="0.25">
      <c r="A258" s="1">
        <v>45511</v>
      </c>
      <c r="B258" s="2" t="s">
        <v>24</v>
      </c>
      <c r="C258" s="2" t="s">
        <v>25</v>
      </c>
      <c r="D258" s="2" t="s">
        <v>26</v>
      </c>
      <c r="E258" s="2" t="s">
        <v>38</v>
      </c>
      <c r="F258">
        <v>297887</v>
      </c>
      <c r="G258">
        <v>19916</v>
      </c>
      <c r="H258">
        <v>3329</v>
      </c>
      <c r="I258">
        <v>2125</v>
      </c>
      <c r="J258">
        <v>936</v>
      </c>
      <c r="K258">
        <v>270727.95</v>
      </c>
      <c r="L258">
        <v>2895011.75</v>
      </c>
      <c r="M258" s="2" t="s">
        <v>19</v>
      </c>
      <c r="N258">
        <v>6.6857566795462704</v>
      </c>
      <c r="O258">
        <v>13.5934901586664</v>
      </c>
      <c r="P258">
        <v>16.715203856196023</v>
      </c>
      <c r="Q258">
        <v>289.23926282051281</v>
      </c>
      <c r="R258">
        <v>10.693435051681956</v>
      </c>
    </row>
    <row r="259" spans="1:18" x14ac:dyDescent="0.25">
      <c r="A259" s="1">
        <v>45511</v>
      </c>
      <c r="B259" s="2" t="s">
        <v>27</v>
      </c>
      <c r="C259" s="2" t="s">
        <v>28</v>
      </c>
      <c r="D259" s="2" t="s">
        <v>29</v>
      </c>
      <c r="E259" s="2" t="s">
        <v>38</v>
      </c>
      <c r="F259">
        <v>54376</v>
      </c>
      <c r="G259">
        <v>2198</v>
      </c>
      <c r="H259">
        <v>530</v>
      </c>
      <c r="I259">
        <v>240</v>
      </c>
      <c r="J259">
        <v>98</v>
      </c>
      <c r="K259">
        <v>48889.03</v>
      </c>
      <c r="L259">
        <v>404235.06</v>
      </c>
      <c r="M259" s="2" t="s">
        <v>22</v>
      </c>
      <c r="N259">
        <v>4.0422245108135941</v>
      </c>
      <c r="O259">
        <v>22.242506824385806</v>
      </c>
      <c r="P259">
        <v>24.112829845313922</v>
      </c>
      <c r="Q259">
        <v>498.86765306122447</v>
      </c>
      <c r="R259">
        <v>8.268420543422522</v>
      </c>
    </row>
    <row r="260" spans="1:18" x14ac:dyDescent="0.25">
      <c r="A260" s="1">
        <v>45512</v>
      </c>
      <c r="B260" s="2" t="s">
        <v>24</v>
      </c>
      <c r="C260" s="2" t="s">
        <v>25</v>
      </c>
      <c r="D260" s="2" t="s">
        <v>26</v>
      </c>
      <c r="E260" s="2" t="s">
        <v>38</v>
      </c>
      <c r="F260">
        <v>88036</v>
      </c>
      <c r="G260">
        <v>3843</v>
      </c>
      <c r="H260">
        <v>807</v>
      </c>
      <c r="I260">
        <v>511</v>
      </c>
      <c r="J260">
        <v>208</v>
      </c>
      <c r="K260">
        <v>69666.14</v>
      </c>
      <c r="L260">
        <v>1270694.45</v>
      </c>
      <c r="M260" s="2" t="s">
        <v>22</v>
      </c>
      <c r="N260">
        <v>4.3652596665000685</v>
      </c>
      <c r="O260">
        <v>18.128061410356491</v>
      </c>
      <c r="P260">
        <v>20.999219359875099</v>
      </c>
      <c r="Q260">
        <v>334.9333653846154</v>
      </c>
      <c r="R260">
        <v>18.239771142767491</v>
      </c>
    </row>
    <row r="261" spans="1:18" x14ac:dyDescent="0.25">
      <c r="A261" s="1">
        <v>45512</v>
      </c>
      <c r="B261" s="2" t="s">
        <v>27</v>
      </c>
      <c r="C261" s="2" t="s">
        <v>28</v>
      </c>
      <c r="D261" s="2" t="s">
        <v>29</v>
      </c>
      <c r="E261" s="2" t="s">
        <v>38</v>
      </c>
      <c r="F261">
        <v>276523</v>
      </c>
      <c r="G261">
        <v>11747</v>
      </c>
      <c r="H261">
        <v>1913</v>
      </c>
      <c r="I261">
        <v>1099</v>
      </c>
      <c r="J261">
        <v>451</v>
      </c>
      <c r="K261">
        <v>112550.84</v>
      </c>
      <c r="L261">
        <v>3062511.38</v>
      </c>
      <c r="M261" s="2" t="s">
        <v>19</v>
      </c>
      <c r="N261">
        <v>4.2481095605067205</v>
      </c>
      <c r="O261">
        <v>9.581241167957776</v>
      </c>
      <c r="P261">
        <v>16.285008938452371</v>
      </c>
      <c r="Q261">
        <v>249.55840354767184</v>
      </c>
      <c r="R261">
        <v>27.210026864304165</v>
      </c>
    </row>
    <row r="262" spans="1:18" x14ac:dyDescent="0.25">
      <c r="A262" s="1">
        <v>45513</v>
      </c>
      <c r="B262" s="2" t="s">
        <v>24</v>
      </c>
      <c r="C262" s="2" t="s">
        <v>25</v>
      </c>
      <c r="D262" s="2" t="s">
        <v>26</v>
      </c>
      <c r="E262" s="2" t="s">
        <v>38</v>
      </c>
      <c r="F262">
        <v>61270</v>
      </c>
      <c r="G262">
        <v>3608</v>
      </c>
      <c r="H262">
        <v>771</v>
      </c>
      <c r="I262">
        <v>487</v>
      </c>
      <c r="J262">
        <v>203</v>
      </c>
      <c r="K262">
        <v>48486.67</v>
      </c>
      <c r="L262">
        <v>1016705.47</v>
      </c>
      <c r="M262" s="2" t="s">
        <v>23</v>
      </c>
      <c r="N262">
        <v>5.8886894075403946</v>
      </c>
      <c r="O262">
        <v>13.43865576496674</v>
      </c>
      <c r="P262">
        <v>21.369179600886916</v>
      </c>
      <c r="Q262">
        <v>238.85059113300491</v>
      </c>
      <c r="R262">
        <v>20.968762548552004</v>
      </c>
    </row>
    <row r="263" spans="1:18" x14ac:dyDescent="0.25">
      <c r="A263" s="1">
        <v>45513</v>
      </c>
      <c r="B263" s="2" t="s">
        <v>27</v>
      </c>
      <c r="C263" s="2" t="s">
        <v>28</v>
      </c>
      <c r="D263" s="2" t="s">
        <v>29</v>
      </c>
      <c r="E263" s="2" t="s">
        <v>40</v>
      </c>
      <c r="F263">
        <v>175935</v>
      </c>
      <c r="G263">
        <v>8558</v>
      </c>
      <c r="H263">
        <v>1832</v>
      </c>
      <c r="I263">
        <v>1035</v>
      </c>
      <c r="J263">
        <v>601</v>
      </c>
      <c r="K263">
        <v>163462.72</v>
      </c>
      <c r="L263">
        <v>2873827.39</v>
      </c>
      <c r="M263" s="2" t="s">
        <v>21</v>
      </c>
      <c r="N263">
        <v>4.864296473129281</v>
      </c>
      <c r="O263">
        <v>19.100574900677728</v>
      </c>
      <c r="P263">
        <v>21.40687076419724</v>
      </c>
      <c r="Q263">
        <v>271.98455906821965</v>
      </c>
      <c r="R263">
        <v>17.580934600868016</v>
      </c>
    </row>
    <row r="264" spans="1:18" x14ac:dyDescent="0.25">
      <c r="A264" s="1">
        <v>45514</v>
      </c>
      <c r="B264" s="2" t="s">
        <v>24</v>
      </c>
      <c r="C264" s="2" t="s">
        <v>25</v>
      </c>
      <c r="D264" s="2" t="s">
        <v>26</v>
      </c>
      <c r="E264" s="2" t="s">
        <v>38</v>
      </c>
      <c r="F264">
        <v>270202</v>
      </c>
      <c r="G264">
        <v>19267</v>
      </c>
      <c r="H264">
        <v>3864</v>
      </c>
      <c r="I264">
        <v>1957</v>
      </c>
      <c r="J264">
        <v>1169</v>
      </c>
      <c r="K264">
        <v>132916.07999999999</v>
      </c>
      <c r="L264">
        <v>5811867.04</v>
      </c>
      <c r="M264" s="2" t="s">
        <v>22</v>
      </c>
      <c r="N264">
        <v>7.1305911873339207</v>
      </c>
      <c r="O264">
        <v>6.8986391238905895</v>
      </c>
      <c r="P264">
        <v>20.055016349198109</v>
      </c>
      <c r="Q264">
        <v>113.70066723695466</v>
      </c>
      <c r="R264">
        <v>43.72583843881042</v>
      </c>
    </row>
    <row r="265" spans="1:18" x14ac:dyDescent="0.25">
      <c r="A265" s="1">
        <v>45514</v>
      </c>
      <c r="B265" s="2" t="s">
        <v>27</v>
      </c>
      <c r="C265" s="2" t="s">
        <v>28</v>
      </c>
      <c r="D265" s="2" t="s">
        <v>29</v>
      </c>
      <c r="E265" s="2" t="s">
        <v>38</v>
      </c>
      <c r="F265">
        <v>70308</v>
      </c>
      <c r="G265">
        <v>4870</v>
      </c>
      <c r="H265">
        <v>930</v>
      </c>
      <c r="I265">
        <v>492</v>
      </c>
      <c r="J265">
        <v>251</v>
      </c>
      <c r="K265">
        <v>51723.19</v>
      </c>
      <c r="L265">
        <v>1262103.52</v>
      </c>
      <c r="M265" s="2" t="s">
        <v>23</v>
      </c>
      <c r="N265">
        <v>6.9266655288160655</v>
      </c>
      <c r="O265">
        <v>10.620778234086243</v>
      </c>
      <c r="P265">
        <v>19.096509240246405</v>
      </c>
      <c r="Q265">
        <v>206.0684860557769</v>
      </c>
      <c r="R265">
        <v>24.401115244438714</v>
      </c>
    </row>
    <row r="266" spans="1:18" x14ac:dyDescent="0.25">
      <c r="A266" s="1">
        <v>45515</v>
      </c>
      <c r="B266" s="2" t="s">
        <v>24</v>
      </c>
      <c r="C266" s="2" t="s">
        <v>25</v>
      </c>
      <c r="D266" s="2" t="s">
        <v>26</v>
      </c>
      <c r="E266" s="2" t="s">
        <v>38</v>
      </c>
      <c r="F266">
        <v>206790</v>
      </c>
      <c r="G266">
        <v>15329</v>
      </c>
      <c r="H266">
        <v>3569</v>
      </c>
      <c r="I266">
        <v>2038</v>
      </c>
      <c r="J266">
        <v>1076</v>
      </c>
      <c r="K266">
        <v>151435.23000000001</v>
      </c>
      <c r="L266">
        <v>8479988.8300000001</v>
      </c>
      <c r="M266" s="2" t="s">
        <v>23</v>
      </c>
      <c r="N266">
        <v>7.4128342763189705</v>
      </c>
      <c r="O266">
        <v>9.8790025441972737</v>
      </c>
      <c r="P266">
        <v>23.282666840628874</v>
      </c>
      <c r="Q266">
        <v>140.73906133828999</v>
      </c>
      <c r="R266">
        <v>55.997463932269916</v>
      </c>
    </row>
    <row r="267" spans="1:18" x14ac:dyDescent="0.25">
      <c r="A267" s="1">
        <v>45515</v>
      </c>
      <c r="B267" s="2" t="s">
        <v>27</v>
      </c>
      <c r="C267" s="2" t="s">
        <v>28</v>
      </c>
      <c r="D267" s="2" t="s">
        <v>29</v>
      </c>
      <c r="E267" s="2" t="s">
        <v>40</v>
      </c>
      <c r="F267">
        <v>239465</v>
      </c>
      <c r="G267">
        <v>10006</v>
      </c>
      <c r="H267">
        <v>1533</v>
      </c>
      <c r="I267">
        <v>767</v>
      </c>
      <c r="J267">
        <v>445</v>
      </c>
      <c r="K267">
        <v>119177.15</v>
      </c>
      <c r="L267">
        <v>3554173.67</v>
      </c>
      <c r="M267" s="2" t="s">
        <v>20</v>
      </c>
      <c r="N267">
        <v>4.1784811976698055</v>
      </c>
      <c r="O267">
        <v>11.910568658804717</v>
      </c>
      <c r="P267">
        <v>15.320807515490706</v>
      </c>
      <c r="Q267">
        <v>267.81382022471911</v>
      </c>
      <c r="R267">
        <v>29.822610038921052</v>
      </c>
    </row>
    <row r="268" spans="1:18" x14ac:dyDescent="0.25">
      <c r="A268" s="1">
        <v>45516</v>
      </c>
      <c r="B268" s="2" t="s">
        <v>24</v>
      </c>
      <c r="C268" s="2" t="s">
        <v>25</v>
      </c>
      <c r="D268" s="2" t="s">
        <v>26</v>
      </c>
      <c r="E268" s="2" t="s">
        <v>38</v>
      </c>
      <c r="F268">
        <v>143259</v>
      </c>
      <c r="G268">
        <v>4765</v>
      </c>
      <c r="H268">
        <v>1041</v>
      </c>
      <c r="I268">
        <v>609</v>
      </c>
      <c r="J268">
        <v>246</v>
      </c>
      <c r="K268">
        <v>103534</v>
      </c>
      <c r="L268">
        <v>1950084.07</v>
      </c>
      <c r="M268" s="2" t="s">
        <v>22</v>
      </c>
      <c r="N268">
        <v>3.3261435581708652</v>
      </c>
      <c r="O268">
        <v>21.728016789087093</v>
      </c>
      <c r="P268">
        <v>21.846799580272823</v>
      </c>
      <c r="Q268">
        <v>420.869918699187</v>
      </c>
      <c r="R268">
        <v>18.835204570479263</v>
      </c>
    </row>
    <row r="269" spans="1:18" x14ac:dyDescent="0.25">
      <c r="A269" s="1">
        <v>45516</v>
      </c>
      <c r="B269" s="2" t="s">
        <v>27</v>
      </c>
      <c r="C269" s="2" t="s">
        <v>28</v>
      </c>
      <c r="D269" s="2" t="s">
        <v>29</v>
      </c>
      <c r="E269" s="2" t="s">
        <v>40</v>
      </c>
      <c r="F269">
        <v>60504</v>
      </c>
      <c r="G269">
        <v>2239</v>
      </c>
      <c r="H269">
        <v>539</v>
      </c>
      <c r="I269">
        <v>322</v>
      </c>
      <c r="J269">
        <v>184</v>
      </c>
      <c r="K269">
        <v>54506.92</v>
      </c>
      <c r="L269">
        <v>1051156.08</v>
      </c>
      <c r="M269" s="2" t="s">
        <v>22</v>
      </c>
      <c r="N269">
        <v>3.7005817797170435</v>
      </c>
      <c r="O269">
        <v>24.344314426083073</v>
      </c>
      <c r="P269">
        <v>24.073246985261278</v>
      </c>
      <c r="Q269">
        <v>296.23326086956519</v>
      </c>
      <c r="R269">
        <v>19.284818881712635</v>
      </c>
    </row>
    <row r="270" spans="1:18" x14ac:dyDescent="0.25">
      <c r="A270" s="1">
        <v>45517</v>
      </c>
      <c r="B270" s="2" t="s">
        <v>24</v>
      </c>
      <c r="C270" s="2" t="s">
        <v>25</v>
      </c>
      <c r="D270" s="2" t="s">
        <v>26</v>
      </c>
      <c r="E270" s="2" t="s">
        <v>38</v>
      </c>
      <c r="F270">
        <v>203962</v>
      </c>
      <c r="G270">
        <v>9650</v>
      </c>
      <c r="H270">
        <v>2394</v>
      </c>
      <c r="I270">
        <v>1402</v>
      </c>
      <c r="J270">
        <v>591</v>
      </c>
      <c r="K270">
        <v>143265.17000000001</v>
      </c>
      <c r="L270">
        <v>2808713.52</v>
      </c>
      <c r="M270" s="2" t="s">
        <v>20</v>
      </c>
      <c r="N270">
        <v>4.7312734725095851</v>
      </c>
      <c r="O270">
        <v>14.846131606217618</v>
      </c>
      <c r="P270">
        <v>24.808290155440417</v>
      </c>
      <c r="Q270">
        <v>242.41145516074451</v>
      </c>
      <c r="R270">
        <v>19.60499903779823</v>
      </c>
    </row>
    <row r="271" spans="1:18" x14ac:dyDescent="0.25">
      <c r="A271" s="1">
        <v>45517</v>
      </c>
      <c r="B271" s="2" t="s">
        <v>27</v>
      </c>
      <c r="C271" s="2" t="s">
        <v>28</v>
      </c>
      <c r="D271" s="2" t="s">
        <v>29</v>
      </c>
      <c r="E271" s="2" t="s">
        <v>38</v>
      </c>
      <c r="F271">
        <v>140195</v>
      </c>
      <c r="G271">
        <v>9654</v>
      </c>
      <c r="H271">
        <v>1913</v>
      </c>
      <c r="I271">
        <v>1044</v>
      </c>
      <c r="J271">
        <v>524</v>
      </c>
      <c r="K271">
        <v>78718.460000000006</v>
      </c>
      <c r="L271">
        <v>3267340.14</v>
      </c>
      <c r="M271" s="2" t="s">
        <v>19</v>
      </c>
      <c r="N271">
        <v>6.886122900246086</v>
      </c>
      <c r="O271">
        <v>8.1539734824943029</v>
      </c>
      <c r="P271">
        <v>19.815620468199711</v>
      </c>
      <c r="Q271">
        <v>150.22606870229009</v>
      </c>
      <c r="R271">
        <v>41.506657269463858</v>
      </c>
    </row>
    <row r="272" spans="1:18" x14ac:dyDescent="0.25">
      <c r="A272" s="1">
        <v>45518</v>
      </c>
      <c r="B272" s="2" t="s">
        <v>24</v>
      </c>
      <c r="C272" s="2" t="s">
        <v>25</v>
      </c>
      <c r="D272" s="2" t="s">
        <v>26</v>
      </c>
      <c r="E272" s="2" t="s">
        <v>38</v>
      </c>
      <c r="F272">
        <v>93684</v>
      </c>
      <c r="G272">
        <v>5805</v>
      </c>
      <c r="H272">
        <v>1305</v>
      </c>
      <c r="I272">
        <v>670</v>
      </c>
      <c r="J272">
        <v>372</v>
      </c>
      <c r="K272">
        <v>41067.660000000003</v>
      </c>
      <c r="L272">
        <v>1553036.39</v>
      </c>
      <c r="M272" s="2" t="s">
        <v>19</v>
      </c>
      <c r="N272">
        <v>6.1963622390162678</v>
      </c>
      <c r="O272">
        <v>7.0745322997416027</v>
      </c>
      <c r="P272">
        <v>22.480620155038761</v>
      </c>
      <c r="Q272">
        <v>110.39693548387098</v>
      </c>
      <c r="R272">
        <v>37.816529843677479</v>
      </c>
    </row>
    <row r="273" spans="1:18" x14ac:dyDescent="0.25">
      <c r="A273" s="1">
        <v>45518</v>
      </c>
      <c r="B273" s="2" t="s">
        <v>27</v>
      </c>
      <c r="C273" s="2" t="s">
        <v>28</v>
      </c>
      <c r="D273" s="2" t="s">
        <v>29</v>
      </c>
      <c r="E273" s="2" t="s">
        <v>40</v>
      </c>
      <c r="F273">
        <v>184290</v>
      </c>
      <c r="G273">
        <v>10858</v>
      </c>
      <c r="H273">
        <v>2176</v>
      </c>
      <c r="I273">
        <v>991</v>
      </c>
      <c r="J273">
        <v>427</v>
      </c>
      <c r="K273">
        <v>163226.63</v>
      </c>
      <c r="L273">
        <v>1995132.12</v>
      </c>
      <c r="M273" s="2" t="s">
        <v>23</v>
      </c>
      <c r="N273">
        <v>5.8918009658690114</v>
      </c>
      <c r="O273">
        <v>15.032844906981028</v>
      </c>
      <c r="P273">
        <v>20.040523116596059</v>
      </c>
      <c r="Q273">
        <v>382.26377049180331</v>
      </c>
      <c r="R273">
        <v>12.223079775646903</v>
      </c>
    </row>
    <row r="274" spans="1:18" x14ac:dyDescent="0.25">
      <c r="A274" s="1">
        <v>45519</v>
      </c>
      <c r="B274" s="2" t="s">
        <v>24</v>
      </c>
      <c r="C274" s="2" t="s">
        <v>25</v>
      </c>
      <c r="D274" s="2" t="s">
        <v>26</v>
      </c>
      <c r="E274" s="2" t="s">
        <v>38</v>
      </c>
      <c r="F274">
        <v>246897</v>
      </c>
      <c r="G274">
        <v>8565</v>
      </c>
      <c r="H274">
        <v>2017</v>
      </c>
      <c r="I274">
        <v>1112</v>
      </c>
      <c r="J274">
        <v>614</v>
      </c>
      <c r="K274">
        <v>246807.4</v>
      </c>
      <c r="L274">
        <v>4424382.49</v>
      </c>
      <c r="M274" s="2" t="s">
        <v>20</v>
      </c>
      <c r="N274">
        <v>3.4690579472411573</v>
      </c>
      <c r="O274">
        <v>28.815808523058958</v>
      </c>
      <c r="P274">
        <v>23.54932866316404</v>
      </c>
      <c r="Q274">
        <v>401.96644951140064</v>
      </c>
      <c r="R274">
        <v>17.926457999233413</v>
      </c>
    </row>
    <row r="275" spans="1:18" x14ac:dyDescent="0.25">
      <c r="A275" s="1">
        <v>45519</v>
      </c>
      <c r="B275" s="2" t="s">
        <v>27</v>
      </c>
      <c r="C275" s="2" t="s">
        <v>28</v>
      </c>
      <c r="D275" s="2" t="s">
        <v>29</v>
      </c>
      <c r="E275" s="2" t="s">
        <v>38</v>
      </c>
      <c r="F275">
        <v>75772</v>
      </c>
      <c r="G275">
        <v>2986</v>
      </c>
      <c r="H275">
        <v>585</v>
      </c>
      <c r="I275">
        <v>343</v>
      </c>
      <c r="J275">
        <v>194</v>
      </c>
      <c r="K275">
        <v>50358.62</v>
      </c>
      <c r="L275">
        <v>1510026.78</v>
      </c>
      <c r="M275" s="2" t="s">
        <v>20</v>
      </c>
      <c r="N275">
        <v>3.9407696774534129</v>
      </c>
      <c r="O275">
        <v>16.864909578030812</v>
      </c>
      <c r="P275">
        <v>19.591426657736104</v>
      </c>
      <c r="Q275">
        <v>259.58051546391755</v>
      </c>
      <c r="R275">
        <v>29.98546783053229</v>
      </c>
    </row>
    <row r="276" spans="1:18" x14ac:dyDescent="0.25">
      <c r="A276" s="1">
        <v>45520</v>
      </c>
      <c r="B276" s="2" t="s">
        <v>24</v>
      </c>
      <c r="C276" s="2" t="s">
        <v>25</v>
      </c>
      <c r="D276" s="2" t="s">
        <v>26</v>
      </c>
      <c r="E276" s="2" t="s">
        <v>38</v>
      </c>
      <c r="F276">
        <v>259857</v>
      </c>
      <c r="G276">
        <v>18951</v>
      </c>
      <c r="H276">
        <v>3776</v>
      </c>
      <c r="I276">
        <v>2370</v>
      </c>
      <c r="J276">
        <v>1066</v>
      </c>
      <c r="K276">
        <v>110740.59</v>
      </c>
      <c r="L276">
        <v>3876986.66</v>
      </c>
      <c r="M276" s="2" t="s">
        <v>20</v>
      </c>
      <c r="N276">
        <v>7.2928572253200805</v>
      </c>
      <c r="O276">
        <v>5.8435222415703656</v>
      </c>
      <c r="P276">
        <v>19.925069917154765</v>
      </c>
      <c r="Q276">
        <v>103.88423076923077</v>
      </c>
      <c r="R276">
        <v>35.009626190360734</v>
      </c>
    </row>
    <row r="277" spans="1:18" x14ac:dyDescent="0.25">
      <c r="A277" s="1">
        <v>45520</v>
      </c>
      <c r="B277" s="2" t="s">
        <v>27</v>
      </c>
      <c r="C277" s="2" t="s">
        <v>28</v>
      </c>
      <c r="D277" s="2" t="s">
        <v>29</v>
      </c>
      <c r="E277" s="2" t="s">
        <v>40</v>
      </c>
      <c r="F277">
        <v>147185</v>
      </c>
      <c r="G277">
        <v>8624</v>
      </c>
      <c r="H277">
        <v>2052</v>
      </c>
      <c r="I277">
        <v>1243</v>
      </c>
      <c r="J277">
        <v>630</v>
      </c>
      <c r="K277">
        <v>102580.43</v>
      </c>
      <c r="L277">
        <v>3446317.81</v>
      </c>
      <c r="M277" s="2" t="s">
        <v>19</v>
      </c>
      <c r="N277">
        <v>5.8592927268403709</v>
      </c>
      <c r="O277">
        <v>11.894762291280147</v>
      </c>
      <c r="P277">
        <v>23.794063079777366</v>
      </c>
      <c r="Q277">
        <v>162.82607936507935</v>
      </c>
      <c r="R277">
        <v>33.596250376411959</v>
      </c>
    </row>
    <row r="278" spans="1:18" x14ac:dyDescent="0.25">
      <c r="A278" s="1">
        <v>45521</v>
      </c>
      <c r="B278" s="2" t="s">
        <v>24</v>
      </c>
      <c r="C278" s="2" t="s">
        <v>25</v>
      </c>
      <c r="D278" s="2" t="s">
        <v>26</v>
      </c>
      <c r="E278" s="2" t="s">
        <v>38</v>
      </c>
      <c r="F278">
        <v>160425</v>
      </c>
      <c r="G278">
        <v>11372</v>
      </c>
      <c r="H278">
        <v>2306</v>
      </c>
      <c r="I278">
        <v>1230</v>
      </c>
      <c r="J278">
        <v>588</v>
      </c>
      <c r="K278">
        <v>133747.28</v>
      </c>
      <c r="L278">
        <v>2831000.7</v>
      </c>
      <c r="M278" s="2" t="s">
        <v>20</v>
      </c>
      <c r="N278">
        <v>7.0886707184042388</v>
      </c>
      <c r="O278">
        <v>11.761104467112204</v>
      </c>
      <c r="P278">
        <v>20.277875483644038</v>
      </c>
      <c r="Q278">
        <v>227.46136054421768</v>
      </c>
      <c r="R278">
        <v>21.166790831185502</v>
      </c>
    </row>
    <row r="279" spans="1:18" x14ac:dyDescent="0.25">
      <c r="A279" s="1">
        <v>45521</v>
      </c>
      <c r="B279" s="2" t="s">
        <v>27</v>
      </c>
      <c r="C279" s="2" t="s">
        <v>28</v>
      </c>
      <c r="D279" s="2" t="s">
        <v>29</v>
      </c>
      <c r="E279" s="2" t="s">
        <v>39</v>
      </c>
      <c r="F279">
        <v>196487</v>
      </c>
      <c r="G279">
        <v>8699</v>
      </c>
      <c r="H279">
        <v>1691</v>
      </c>
      <c r="I279">
        <v>1051</v>
      </c>
      <c r="J279">
        <v>613</v>
      </c>
      <c r="K279">
        <v>171743.84</v>
      </c>
      <c r="L279">
        <v>3311850.86</v>
      </c>
      <c r="M279" s="2" t="s">
        <v>23</v>
      </c>
      <c r="N279">
        <v>4.4272649081109696</v>
      </c>
      <c r="O279">
        <v>19.742940567881366</v>
      </c>
      <c r="P279">
        <v>19.439015978848143</v>
      </c>
      <c r="Q279">
        <v>280.16939641109298</v>
      </c>
      <c r="R279">
        <v>19.283666069187692</v>
      </c>
    </row>
    <row r="280" spans="1:18" x14ac:dyDescent="0.25">
      <c r="A280" s="1">
        <v>45522</v>
      </c>
      <c r="B280" s="2" t="s">
        <v>24</v>
      </c>
      <c r="C280" s="2" t="s">
        <v>25</v>
      </c>
      <c r="D280" s="2" t="s">
        <v>26</v>
      </c>
      <c r="E280" s="2" t="s">
        <v>38</v>
      </c>
      <c r="F280">
        <v>136692</v>
      </c>
      <c r="G280">
        <v>7477</v>
      </c>
      <c r="H280">
        <v>1371</v>
      </c>
      <c r="I280">
        <v>764</v>
      </c>
      <c r="J280">
        <v>442</v>
      </c>
      <c r="K280">
        <v>120425.27</v>
      </c>
      <c r="L280">
        <v>2071543.89</v>
      </c>
      <c r="M280" s="2" t="s">
        <v>19</v>
      </c>
      <c r="N280">
        <v>5.4699616656424661</v>
      </c>
      <c r="O280">
        <v>16.106094690383845</v>
      </c>
      <c r="P280">
        <v>18.33623110873345</v>
      </c>
      <c r="Q280">
        <v>272.45536199095022</v>
      </c>
      <c r="R280">
        <v>17.201903637002431</v>
      </c>
    </row>
    <row r="281" spans="1:18" x14ac:dyDescent="0.25">
      <c r="A281" s="1">
        <v>45522</v>
      </c>
      <c r="B281" s="2" t="s">
        <v>27</v>
      </c>
      <c r="C281" s="2" t="s">
        <v>28</v>
      </c>
      <c r="D281" s="2" t="s">
        <v>29</v>
      </c>
      <c r="E281" s="2" t="s">
        <v>40</v>
      </c>
      <c r="F281">
        <v>254671</v>
      </c>
      <c r="G281">
        <v>15131</v>
      </c>
      <c r="H281">
        <v>3100</v>
      </c>
      <c r="I281">
        <v>1454</v>
      </c>
      <c r="J281">
        <v>638</v>
      </c>
      <c r="K281">
        <v>167140.01</v>
      </c>
      <c r="L281">
        <v>4151995.55</v>
      </c>
      <c r="M281" s="2" t="s">
        <v>19</v>
      </c>
      <c r="N281">
        <v>5.941391049628737</v>
      </c>
      <c r="O281">
        <v>11.046197211023726</v>
      </c>
      <c r="P281">
        <v>20.487740400502279</v>
      </c>
      <c r="Q281">
        <v>261.97493730407524</v>
      </c>
      <c r="R281">
        <v>24.841422170550306</v>
      </c>
    </row>
    <row r="282" spans="1:18" x14ac:dyDescent="0.25">
      <c r="A282" s="1">
        <v>45523</v>
      </c>
      <c r="B282" s="2" t="s">
        <v>24</v>
      </c>
      <c r="C282" s="2" t="s">
        <v>25</v>
      </c>
      <c r="D282" s="2" t="s">
        <v>26</v>
      </c>
      <c r="E282" s="2" t="s">
        <v>38</v>
      </c>
      <c r="F282">
        <v>167681</v>
      </c>
      <c r="G282">
        <v>13225</v>
      </c>
      <c r="H282">
        <v>2990</v>
      </c>
      <c r="I282">
        <v>1842</v>
      </c>
      <c r="J282">
        <v>894</v>
      </c>
      <c r="K282">
        <v>92404.26</v>
      </c>
      <c r="L282">
        <v>6148023.7000000002</v>
      </c>
      <c r="M282" s="2" t="s">
        <v>20</v>
      </c>
      <c r="N282">
        <v>7.8869997197058703</v>
      </c>
      <c r="O282">
        <v>6.9870896030245744</v>
      </c>
      <c r="P282">
        <v>22.608695652173914</v>
      </c>
      <c r="Q282">
        <v>103.36046979865772</v>
      </c>
      <c r="R282">
        <v>66.533985554345662</v>
      </c>
    </row>
    <row r="283" spans="1:18" x14ac:dyDescent="0.25">
      <c r="A283" s="1">
        <v>45523</v>
      </c>
      <c r="B283" s="2" t="s">
        <v>27</v>
      </c>
      <c r="C283" s="2" t="s">
        <v>28</v>
      </c>
      <c r="D283" s="2" t="s">
        <v>29</v>
      </c>
      <c r="E283" s="2" t="s">
        <v>38</v>
      </c>
      <c r="F283">
        <v>150411</v>
      </c>
      <c r="G283">
        <v>8934</v>
      </c>
      <c r="H283">
        <v>1854</v>
      </c>
      <c r="I283">
        <v>1043</v>
      </c>
      <c r="J283">
        <v>438</v>
      </c>
      <c r="K283">
        <v>83953.46</v>
      </c>
      <c r="L283">
        <v>3329055.06</v>
      </c>
      <c r="M283" s="2" t="s">
        <v>21</v>
      </c>
      <c r="N283">
        <v>5.939725153080559</v>
      </c>
      <c r="O283">
        <v>9.3970740989478401</v>
      </c>
      <c r="P283">
        <v>20.752182672934854</v>
      </c>
      <c r="Q283">
        <v>191.67456621004567</v>
      </c>
      <c r="R283">
        <v>39.653577827524913</v>
      </c>
    </row>
    <row r="284" spans="1:18" x14ac:dyDescent="0.25">
      <c r="A284" s="1">
        <v>45524</v>
      </c>
      <c r="B284" s="2" t="s">
        <v>24</v>
      </c>
      <c r="C284" s="2" t="s">
        <v>25</v>
      </c>
      <c r="D284" s="2" t="s">
        <v>26</v>
      </c>
      <c r="E284" s="2" t="s">
        <v>38</v>
      </c>
      <c r="F284">
        <v>50916</v>
      </c>
      <c r="G284">
        <v>2686</v>
      </c>
      <c r="H284">
        <v>642</v>
      </c>
      <c r="I284">
        <v>387</v>
      </c>
      <c r="J284">
        <v>160</v>
      </c>
      <c r="K284">
        <v>34435.4</v>
      </c>
      <c r="L284">
        <v>774444.94</v>
      </c>
      <c r="M284" s="2" t="s">
        <v>20</v>
      </c>
      <c r="N284">
        <v>5.2753554874695574</v>
      </c>
      <c r="O284">
        <v>12.820327624720775</v>
      </c>
      <c r="P284">
        <v>23.901712583767683</v>
      </c>
      <c r="Q284">
        <v>215.22125</v>
      </c>
      <c r="R284">
        <v>22.489790738600391</v>
      </c>
    </row>
    <row r="285" spans="1:18" x14ac:dyDescent="0.25">
      <c r="A285" s="1">
        <v>45524</v>
      </c>
      <c r="B285" s="2" t="s">
        <v>27</v>
      </c>
      <c r="C285" s="2" t="s">
        <v>28</v>
      </c>
      <c r="D285" s="2" t="s">
        <v>29</v>
      </c>
      <c r="E285" s="2" t="s">
        <v>39</v>
      </c>
      <c r="F285">
        <v>266600</v>
      </c>
      <c r="G285">
        <v>18274</v>
      </c>
      <c r="H285">
        <v>4074</v>
      </c>
      <c r="I285">
        <v>2224</v>
      </c>
      <c r="J285">
        <v>907</v>
      </c>
      <c r="K285">
        <v>192783.02</v>
      </c>
      <c r="L285">
        <v>4819731.1399999997</v>
      </c>
      <c r="M285" s="2" t="s">
        <v>23</v>
      </c>
      <c r="N285">
        <v>6.8544636159039758</v>
      </c>
      <c r="O285">
        <v>10.549579730765021</v>
      </c>
      <c r="P285">
        <v>22.293969574258512</v>
      </c>
      <c r="Q285">
        <v>212.5501874310915</v>
      </c>
      <c r="R285">
        <v>25.000807332512998</v>
      </c>
    </row>
    <row r="286" spans="1:18" x14ac:dyDescent="0.25">
      <c r="A286" s="1">
        <v>45525</v>
      </c>
      <c r="B286" s="2" t="s">
        <v>24</v>
      </c>
      <c r="C286" s="2" t="s">
        <v>25</v>
      </c>
      <c r="D286" s="2" t="s">
        <v>26</v>
      </c>
      <c r="E286" s="2" t="s">
        <v>38</v>
      </c>
      <c r="F286">
        <v>246115</v>
      </c>
      <c r="G286">
        <v>17238</v>
      </c>
      <c r="H286">
        <v>2715</v>
      </c>
      <c r="I286">
        <v>1569</v>
      </c>
      <c r="J286">
        <v>816</v>
      </c>
      <c r="K286">
        <v>239237.62</v>
      </c>
      <c r="L286">
        <v>5018704.7300000004</v>
      </c>
      <c r="M286" s="2" t="s">
        <v>21</v>
      </c>
      <c r="N286">
        <v>7.0040428255084013</v>
      </c>
      <c r="O286">
        <v>13.878502146420699</v>
      </c>
      <c r="P286">
        <v>15.750087017055343</v>
      </c>
      <c r="Q286">
        <v>293.18335784313723</v>
      </c>
      <c r="R286">
        <v>20.977907780557256</v>
      </c>
    </row>
    <row r="287" spans="1:18" x14ac:dyDescent="0.25">
      <c r="A287" s="1">
        <v>45525</v>
      </c>
      <c r="B287" s="2" t="s">
        <v>27</v>
      </c>
      <c r="C287" s="2" t="s">
        <v>28</v>
      </c>
      <c r="D287" s="2" t="s">
        <v>29</v>
      </c>
      <c r="E287" s="2" t="s">
        <v>38</v>
      </c>
      <c r="F287">
        <v>286047</v>
      </c>
      <c r="G287">
        <v>14611</v>
      </c>
      <c r="H287">
        <v>3332</v>
      </c>
      <c r="I287">
        <v>1656</v>
      </c>
      <c r="J287">
        <v>978</v>
      </c>
      <c r="K287">
        <v>195179.76</v>
      </c>
      <c r="L287">
        <v>5342189.13</v>
      </c>
      <c r="M287" s="2" t="s">
        <v>20</v>
      </c>
      <c r="N287">
        <v>5.107901848297657</v>
      </c>
      <c r="O287">
        <v>13.358412155225516</v>
      </c>
      <c r="P287">
        <v>22.804736157689412</v>
      </c>
      <c r="Q287">
        <v>199.57030674846627</v>
      </c>
      <c r="R287">
        <v>27.370610200565878</v>
      </c>
    </row>
    <row r="288" spans="1:18" x14ac:dyDescent="0.25">
      <c r="A288" s="1">
        <v>45526</v>
      </c>
      <c r="B288" s="2" t="s">
        <v>24</v>
      </c>
      <c r="C288" s="2" t="s">
        <v>25</v>
      </c>
      <c r="D288" s="2" t="s">
        <v>26</v>
      </c>
      <c r="E288" s="2" t="s">
        <v>38</v>
      </c>
      <c r="F288">
        <v>55434</v>
      </c>
      <c r="G288">
        <v>3340</v>
      </c>
      <c r="H288">
        <v>628</v>
      </c>
      <c r="I288">
        <v>299</v>
      </c>
      <c r="J288">
        <v>157</v>
      </c>
      <c r="K288">
        <v>47688.639999999999</v>
      </c>
      <c r="L288">
        <v>567663.31000000006</v>
      </c>
      <c r="M288" s="2" t="s">
        <v>22</v>
      </c>
      <c r="N288">
        <v>6.0251831006241661</v>
      </c>
      <c r="O288">
        <v>14.278035928143712</v>
      </c>
      <c r="P288">
        <v>18.802395209580837</v>
      </c>
      <c r="Q288">
        <v>303.74929936305733</v>
      </c>
      <c r="R288">
        <v>11.903533210424959</v>
      </c>
    </row>
    <row r="289" spans="1:18" x14ac:dyDescent="0.25">
      <c r="A289" s="1">
        <v>45526</v>
      </c>
      <c r="B289" s="2" t="s">
        <v>27</v>
      </c>
      <c r="C289" s="2" t="s">
        <v>28</v>
      </c>
      <c r="D289" s="2" t="s">
        <v>29</v>
      </c>
      <c r="E289" s="2" t="s">
        <v>38</v>
      </c>
      <c r="F289">
        <v>138420</v>
      </c>
      <c r="G289">
        <v>9190</v>
      </c>
      <c r="H289">
        <v>1758</v>
      </c>
      <c r="I289">
        <v>895</v>
      </c>
      <c r="J289">
        <v>476</v>
      </c>
      <c r="K289">
        <v>121775.58</v>
      </c>
      <c r="L289">
        <v>3796435.52</v>
      </c>
      <c r="M289" s="2" t="s">
        <v>23</v>
      </c>
      <c r="N289">
        <v>6.6392139864181479</v>
      </c>
      <c r="O289">
        <v>13.250879216539717</v>
      </c>
      <c r="P289">
        <v>19.12948857453754</v>
      </c>
      <c r="Q289">
        <v>255.83105042016808</v>
      </c>
      <c r="R289">
        <v>31.175671838311096</v>
      </c>
    </row>
    <row r="290" spans="1:18" x14ac:dyDescent="0.25">
      <c r="A290" s="1">
        <v>45527</v>
      </c>
      <c r="B290" s="2" t="s">
        <v>24</v>
      </c>
      <c r="C290" s="2" t="s">
        <v>25</v>
      </c>
      <c r="D290" s="2" t="s">
        <v>26</v>
      </c>
      <c r="E290" s="2" t="s">
        <v>38</v>
      </c>
      <c r="F290">
        <v>212121</v>
      </c>
      <c r="G290">
        <v>8521</v>
      </c>
      <c r="H290">
        <v>1831</v>
      </c>
      <c r="I290">
        <v>1065</v>
      </c>
      <c r="J290">
        <v>523</v>
      </c>
      <c r="K290">
        <v>210422.93</v>
      </c>
      <c r="L290">
        <v>1816349.21</v>
      </c>
      <c r="M290" s="2" t="s">
        <v>23</v>
      </c>
      <c r="N290">
        <v>4.0170468741897318</v>
      </c>
      <c r="O290">
        <v>24.69462856472245</v>
      </c>
      <c r="P290">
        <v>21.488088252552519</v>
      </c>
      <c r="Q290">
        <v>402.33829827915866</v>
      </c>
      <c r="R290">
        <v>8.6318977214127752</v>
      </c>
    </row>
    <row r="291" spans="1:18" x14ac:dyDescent="0.25">
      <c r="A291" s="1">
        <v>45527</v>
      </c>
      <c r="B291" s="2" t="s">
        <v>27</v>
      </c>
      <c r="C291" s="2" t="s">
        <v>28</v>
      </c>
      <c r="D291" s="2" t="s">
        <v>29</v>
      </c>
      <c r="E291" s="2" t="s">
        <v>39</v>
      </c>
      <c r="F291">
        <v>174155</v>
      </c>
      <c r="G291">
        <v>7729</v>
      </c>
      <c r="H291">
        <v>1269</v>
      </c>
      <c r="I291">
        <v>726</v>
      </c>
      <c r="J291">
        <v>423</v>
      </c>
      <c r="K291">
        <v>114529.99</v>
      </c>
      <c r="L291">
        <v>1755445.01</v>
      </c>
      <c r="M291" s="2" t="s">
        <v>23</v>
      </c>
      <c r="N291">
        <v>4.4380006316212572</v>
      </c>
      <c r="O291">
        <v>14.818215810583517</v>
      </c>
      <c r="P291">
        <v>16.418682882649762</v>
      </c>
      <c r="Q291">
        <v>270.75647754137117</v>
      </c>
      <c r="R291">
        <v>15.327382897702165</v>
      </c>
    </row>
    <row r="292" spans="1:18" x14ac:dyDescent="0.25">
      <c r="A292" s="1">
        <v>45528</v>
      </c>
      <c r="B292" s="2" t="s">
        <v>24</v>
      </c>
      <c r="C292" s="2" t="s">
        <v>25</v>
      </c>
      <c r="D292" s="2" t="s">
        <v>26</v>
      </c>
      <c r="E292" s="2" t="s">
        <v>38</v>
      </c>
      <c r="F292">
        <v>298055</v>
      </c>
      <c r="G292">
        <v>23238</v>
      </c>
      <c r="H292">
        <v>3774</v>
      </c>
      <c r="I292">
        <v>2035</v>
      </c>
      <c r="J292">
        <v>1015</v>
      </c>
      <c r="K292">
        <v>255249.45</v>
      </c>
      <c r="L292">
        <v>5574248.1399999997</v>
      </c>
      <c r="M292" s="2" t="s">
        <v>19</v>
      </c>
      <c r="N292">
        <v>7.7965476170505452</v>
      </c>
      <c r="O292">
        <v>10.984140201394268</v>
      </c>
      <c r="P292">
        <v>16.240640330493157</v>
      </c>
      <c r="Q292">
        <v>251.4772906403941</v>
      </c>
      <c r="R292">
        <v>21.838433501032029</v>
      </c>
    </row>
    <row r="293" spans="1:18" x14ac:dyDescent="0.25">
      <c r="A293" s="1">
        <v>45528</v>
      </c>
      <c r="B293" s="2" t="s">
        <v>27</v>
      </c>
      <c r="C293" s="2" t="s">
        <v>28</v>
      </c>
      <c r="D293" s="2" t="s">
        <v>29</v>
      </c>
      <c r="E293" s="2" t="s">
        <v>38</v>
      </c>
      <c r="F293">
        <v>73433</v>
      </c>
      <c r="G293">
        <v>3246</v>
      </c>
      <c r="H293">
        <v>574</v>
      </c>
      <c r="I293">
        <v>335</v>
      </c>
      <c r="J293">
        <v>163</v>
      </c>
      <c r="K293">
        <v>43645.42</v>
      </c>
      <c r="L293">
        <v>1029954.06</v>
      </c>
      <c r="M293" s="2" t="s">
        <v>22</v>
      </c>
      <c r="N293">
        <v>4.4203559707488456</v>
      </c>
      <c r="O293">
        <v>13.445908810844115</v>
      </c>
      <c r="P293">
        <v>17.683302526186075</v>
      </c>
      <c r="Q293">
        <v>267.76331288343556</v>
      </c>
      <c r="R293">
        <v>23.598216261866654</v>
      </c>
    </row>
    <row r="294" spans="1:18" x14ac:dyDescent="0.25">
      <c r="A294" s="1">
        <v>45529</v>
      </c>
      <c r="B294" s="2" t="s">
        <v>24</v>
      </c>
      <c r="C294" s="2" t="s">
        <v>25</v>
      </c>
      <c r="D294" s="2" t="s">
        <v>26</v>
      </c>
      <c r="E294" s="2" t="s">
        <v>38</v>
      </c>
      <c r="F294">
        <v>273318</v>
      </c>
      <c r="G294">
        <v>12830</v>
      </c>
      <c r="H294">
        <v>2725</v>
      </c>
      <c r="I294">
        <v>1477</v>
      </c>
      <c r="J294">
        <v>719</v>
      </c>
      <c r="K294">
        <v>249800.87</v>
      </c>
      <c r="L294">
        <v>3360100.1</v>
      </c>
      <c r="M294" s="2" t="s">
        <v>19</v>
      </c>
      <c r="N294">
        <v>4.6941657702749175</v>
      </c>
      <c r="O294">
        <v>19.470060015588466</v>
      </c>
      <c r="P294">
        <v>21.239282930631333</v>
      </c>
      <c r="Q294">
        <v>347.42819193324061</v>
      </c>
      <c r="R294">
        <v>13.45111448170697</v>
      </c>
    </row>
    <row r="295" spans="1:18" x14ac:dyDescent="0.25">
      <c r="A295" s="1">
        <v>45529</v>
      </c>
      <c r="B295" s="2" t="s">
        <v>27</v>
      </c>
      <c r="C295" s="2" t="s">
        <v>28</v>
      </c>
      <c r="D295" s="2" t="s">
        <v>29</v>
      </c>
      <c r="E295" s="2" t="s">
        <v>38</v>
      </c>
      <c r="F295">
        <v>190927</v>
      </c>
      <c r="G295">
        <v>8324</v>
      </c>
      <c r="H295">
        <v>1746</v>
      </c>
      <c r="I295">
        <v>1040</v>
      </c>
      <c r="J295">
        <v>502</v>
      </c>
      <c r="K295">
        <v>153681.46</v>
      </c>
      <c r="L295">
        <v>1737263.59</v>
      </c>
      <c r="M295" s="2" t="s">
        <v>19</v>
      </c>
      <c r="N295">
        <v>4.359781487165252</v>
      </c>
      <c r="O295">
        <v>18.462453147525228</v>
      </c>
      <c r="P295">
        <v>20.975492551657858</v>
      </c>
      <c r="Q295">
        <v>306.13836653386454</v>
      </c>
      <c r="R295">
        <v>11.304314716947641</v>
      </c>
    </row>
    <row r="296" spans="1:18" x14ac:dyDescent="0.25">
      <c r="A296" s="1">
        <v>45530</v>
      </c>
      <c r="B296" s="2" t="s">
        <v>24</v>
      </c>
      <c r="C296" s="2" t="s">
        <v>25</v>
      </c>
      <c r="D296" s="2" t="s">
        <v>26</v>
      </c>
      <c r="E296" s="2" t="s">
        <v>38</v>
      </c>
      <c r="F296">
        <v>280548</v>
      </c>
      <c r="G296">
        <v>22400</v>
      </c>
      <c r="H296">
        <v>3381</v>
      </c>
      <c r="I296">
        <v>2001</v>
      </c>
      <c r="J296">
        <v>1115</v>
      </c>
      <c r="K296">
        <v>243363.91</v>
      </c>
      <c r="L296">
        <v>7580435.5999999996</v>
      </c>
      <c r="M296" s="2" t="s">
        <v>22</v>
      </c>
      <c r="N296">
        <v>7.984373440552063</v>
      </c>
      <c r="O296">
        <v>10.864460267857144</v>
      </c>
      <c r="P296">
        <v>15.09375</v>
      </c>
      <c r="Q296">
        <v>218.26359641255607</v>
      </c>
      <c r="R296">
        <v>31.148561017120407</v>
      </c>
    </row>
    <row r="297" spans="1:18" x14ac:dyDescent="0.25">
      <c r="A297" s="1">
        <v>45530</v>
      </c>
      <c r="B297" s="2" t="s">
        <v>27</v>
      </c>
      <c r="C297" s="2" t="s">
        <v>28</v>
      </c>
      <c r="D297" s="2" t="s">
        <v>29</v>
      </c>
      <c r="E297" s="2" t="s">
        <v>38</v>
      </c>
      <c r="F297">
        <v>285397</v>
      </c>
      <c r="G297">
        <v>15333</v>
      </c>
      <c r="H297">
        <v>2569</v>
      </c>
      <c r="I297">
        <v>1619</v>
      </c>
      <c r="J297">
        <v>881</v>
      </c>
      <c r="K297">
        <v>167612.44</v>
      </c>
      <c r="L297">
        <v>5312696.4800000004</v>
      </c>
      <c r="M297" s="2" t="s">
        <v>22</v>
      </c>
      <c r="N297">
        <v>5.3725161792170208</v>
      </c>
      <c r="O297">
        <v>10.931483727907128</v>
      </c>
      <c r="P297">
        <v>16.754712058957804</v>
      </c>
      <c r="Q297">
        <v>190.25248581157774</v>
      </c>
      <c r="R297">
        <v>31.696313710366606</v>
      </c>
    </row>
    <row r="298" spans="1:18" x14ac:dyDescent="0.25">
      <c r="A298" s="1">
        <v>45531</v>
      </c>
      <c r="B298" s="2" t="s">
        <v>24</v>
      </c>
      <c r="C298" s="2" t="s">
        <v>25</v>
      </c>
      <c r="D298" s="2" t="s">
        <v>26</v>
      </c>
      <c r="E298" s="2" t="s">
        <v>38</v>
      </c>
      <c r="F298">
        <v>230587</v>
      </c>
      <c r="G298">
        <v>11780</v>
      </c>
      <c r="H298">
        <v>2103</v>
      </c>
      <c r="I298">
        <v>985</v>
      </c>
      <c r="J298">
        <v>557</v>
      </c>
      <c r="K298">
        <v>170545.05</v>
      </c>
      <c r="L298">
        <v>2172105.58</v>
      </c>
      <c r="M298" s="2" t="s">
        <v>20</v>
      </c>
      <c r="N298">
        <v>5.1087008374279552</v>
      </c>
      <c r="O298">
        <v>14.477508488964345</v>
      </c>
      <c r="P298">
        <v>17.852292020373515</v>
      </c>
      <c r="Q298">
        <v>306.18500897666064</v>
      </c>
      <c r="R298">
        <v>12.73625695967136</v>
      </c>
    </row>
    <row r="299" spans="1:18" x14ac:dyDescent="0.25">
      <c r="A299" s="1">
        <v>45531</v>
      </c>
      <c r="B299" s="2" t="s">
        <v>27</v>
      </c>
      <c r="C299" s="2" t="s">
        <v>28</v>
      </c>
      <c r="D299" s="2" t="s">
        <v>29</v>
      </c>
      <c r="E299" s="2" t="s">
        <v>39</v>
      </c>
      <c r="F299">
        <v>239102</v>
      </c>
      <c r="G299">
        <v>11777</v>
      </c>
      <c r="H299">
        <v>2683</v>
      </c>
      <c r="I299">
        <v>1443</v>
      </c>
      <c r="J299">
        <v>793</v>
      </c>
      <c r="K299">
        <v>178773.39</v>
      </c>
      <c r="L299">
        <v>6237099.54</v>
      </c>
      <c r="M299" s="2" t="s">
        <v>23</v>
      </c>
      <c r="N299">
        <v>4.925512960995726</v>
      </c>
      <c r="O299">
        <v>15.179875180436445</v>
      </c>
      <c r="P299">
        <v>22.781693130678441</v>
      </c>
      <c r="Q299">
        <v>225.43933165195463</v>
      </c>
      <c r="R299">
        <v>34.888299315686744</v>
      </c>
    </row>
    <row r="300" spans="1:18" x14ac:dyDescent="0.25">
      <c r="A300" s="1">
        <v>45532</v>
      </c>
      <c r="B300" s="2" t="s">
        <v>24</v>
      </c>
      <c r="C300" s="2" t="s">
        <v>25</v>
      </c>
      <c r="D300" s="2" t="s">
        <v>26</v>
      </c>
      <c r="E300" s="2" t="s">
        <v>38</v>
      </c>
      <c r="F300">
        <v>122769</v>
      </c>
      <c r="G300">
        <v>4992</v>
      </c>
      <c r="H300">
        <v>1154</v>
      </c>
      <c r="I300">
        <v>639</v>
      </c>
      <c r="J300">
        <v>335</v>
      </c>
      <c r="K300">
        <v>76198.02</v>
      </c>
      <c r="L300">
        <v>1803614.19</v>
      </c>
      <c r="M300" s="2" t="s">
        <v>21</v>
      </c>
      <c r="N300">
        <v>4.0661730567162717</v>
      </c>
      <c r="O300">
        <v>15.264026442307694</v>
      </c>
      <c r="P300">
        <v>23.116987179487182</v>
      </c>
      <c r="Q300">
        <v>227.456776119403</v>
      </c>
      <c r="R300">
        <v>23.670092608705577</v>
      </c>
    </row>
    <row r="301" spans="1:18" x14ac:dyDescent="0.25">
      <c r="A301" s="1">
        <v>45532</v>
      </c>
      <c r="B301" s="2" t="s">
        <v>27</v>
      </c>
      <c r="C301" s="2" t="s">
        <v>28</v>
      </c>
      <c r="D301" s="2" t="s">
        <v>29</v>
      </c>
      <c r="E301" s="2" t="s">
        <v>40</v>
      </c>
      <c r="F301">
        <v>118445</v>
      </c>
      <c r="G301">
        <v>9312</v>
      </c>
      <c r="H301">
        <v>1796</v>
      </c>
      <c r="I301">
        <v>862</v>
      </c>
      <c r="J301">
        <v>394</v>
      </c>
      <c r="K301">
        <v>53888.89</v>
      </c>
      <c r="L301">
        <v>1248957.4099999999</v>
      </c>
      <c r="M301" s="2" t="s">
        <v>22</v>
      </c>
      <c r="N301">
        <v>7.861876820465195</v>
      </c>
      <c r="O301">
        <v>5.7870371563573881</v>
      </c>
      <c r="P301">
        <v>19.286941580756015</v>
      </c>
      <c r="Q301">
        <v>136.77383248730965</v>
      </c>
      <c r="R301">
        <v>23.176528779865386</v>
      </c>
    </row>
    <row r="302" spans="1:18" x14ac:dyDescent="0.25">
      <c r="A302" s="1">
        <v>45533</v>
      </c>
      <c r="B302" s="2" t="s">
        <v>24</v>
      </c>
      <c r="C302" s="2" t="s">
        <v>25</v>
      </c>
      <c r="D302" s="2" t="s">
        <v>26</v>
      </c>
      <c r="E302" s="2" t="s">
        <v>38</v>
      </c>
      <c r="F302">
        <v>176924</v>
      </c>
      <c r="G302">
        <v>6002</v>
      </c>
      <c r="H302">
        <v>1405</v>
      </c>
      <c r="I302">
        <v>726</v>
      </c>
      <c r="J302">
        <v>305</v>
      </c>
      <c r="K302">
        <v>149271.1</v>
      </c>
      <c r="L302">
        <v>1316066.43</v>
      </c>
      <c r="M302" s="2" t="s">
        <v>22</v>
      </c>
      <c r="N302">
        <v>3.3924170830413063</v>
      </c>
      <c r="O302">
        <v>24.870226591136287</v>
      </c>
      <c r="P302">
        <v>23.408863712095968</v>
      </c>
      <c r="Q302">
        <v>489.41344262295081</v>
      </c>
      <c r="R302">
        <v>8.816619091036376</v>
      </c>
    </row>
    <row r="303" spans="1:18" x14ac:dyDescent="0.25">
      <c r="A303" s="1">
        <v>45533</v>
      </c>
      <c r="B303" s="2" t="s">
        <v>27</v>
      </c>
      <c r="C303" s="2" t="s">
        <v>28</v>
      </c>
      <c r="D303" s="2" t="s">
        <v>29</v>
      </c>
      <c r="E303" s="2" t="s">
        <v>38</v>
      </c>
      <c r="F303">
        <v>141835</v>
      </c>
      <c r="G303">
        <v>4781</v>
      </c>
      <c r="H303">
        <v>815</v>
      </c>
      <c r="I303">
        <v>412</v>
      </c>
      <c r="J303">
        <v>201</v>
      </c>
      <c r="K303">
        <v>71163.259999999995</v>
      </c>
      <c r="L303">
        <v>1195976.69</v>
      </c>
      <c r="M303" s="2" t="s">
        <v>21</v>
      </c>
      <c r="N303">
        <v>3.3708182042514192</v>
      </c>
      <c r="O303">
        <v>14.88459736456808</v>
      </c>
      <c r="P303">
        <v>17.046642961723489</v>
      </c>
      <c r="Q303">
        <v>354.04606965174128</v>
      </c>
      <c r="R303">
        <v>16.806097556520037</v>
      </c>
    </row>
    <row r="304" spans="1:18" x14ac:dyDescent="0.25">
      <c r="A304" s="1">
        <v>45534</v>
      </c>
      <c r="B304" s="2" t="s">
        <v>24</v>
      </c>
      <c r="C304" s="2" t="s">
        <v>25</v>
      </c>
      <c r="D304" s="2" t="s">
        <v>26</v>
      </c>
      <c r="E304" s="2" t="s">
        <v>38</v>
      </c>
      <c r="F304">
        <v>89353</v>
      </c>
      <c r="G304">
        <v>3461</v>
      </c>
      <c r="H304">
        <v>777</v>
      </c>
      <c r="I304">
        <v>423</v>
      </c>
      <c r="J304">
        <v>218</v>
      </c>
      <c r="K304">
        <v>68408.44</v>
      </c>
      <c r="L304">
        <v>1404431.2</v>
      </c>
      <c r="M304" s="2" t="s">
        <v>21</v>
      </c>
      <c r="N304">
        <v>3.8734010050026302</v>
      </c>
      <c r="O304">
        <v>19.76551285755562</v>
      </c>
      <c r="P304">
        <v>22.450158913608785</v>
      </c>
      <c r="Q304">
        <v>313.80018348623855</v>
      </c>
      <c r="R304">
        <v>20.530086638432334</v>
      </c>
    </row>
    <row r="305" spans="1:18" x14ac:dyDescent="0.25">
      <c r="A305" s="1">
        <v>45534</v>
      </c>
      <c r="B305" s="2" t="s">
        <v>27</v>
      </c>
      <c r="C305" s="2" t="s">
        <v>28</v>
      </c>
      <c r="D305" s="2" t="s">
        <v>29</v>
      </c>
      <c r="E305" s="2" t="s">
        <v>40</v>
      </c>
      <c r="F305">
        <v>172603</v>
      </c>
      <c r="G305">
        <v>13771</v>
      </c>
      <c r="H305">
        <v>3131</v>
      </c>
      <c r="I305">
        <v>1756</v>
      </c>
      <c r="J305">
        <v>957</v>
      </c>
      <c r="K305">
        <v>123949.96</v>
      </c>
      <c r="L305">
        <v>7284646.5</v>
      </c>
      <c r="M305" s="2" t="s">
        <v>19</v>
      </c>
      <c r="N305">
        <v>7.9784244769789643</v>
      </c>
      <c r="O305">
        <v>9.0007958753903132</v>
      </c>
      <c r="P305">
        <v>22.736184736039501</v>
      </c>
      <c r="Q305">
        <v>129.51928944618601</v>
      </c>
      <c r="R305">
        <v>58.770866081763963</v>
      </c>
    </row>
    <row r="306" spans="1:18" x14ac:dyDescent="0.25">
      <c r="A306" s="1">
        <v>45535</v>
      </c>
      <c r="B306" s="2" t="s">
        <v>24</v>
      </c>
      <c r="C306" s="2" t="s">
        <v>25</v>
      </c>
      <c r="D306" s="2" t="s">
        <v>26</v>
      </c>
      <c r="E306" s="2" t="s">
        <v>38</v>
      </c>
      <c r="F306">
        <v>275170</v>
      </c>
      <c r="G306">
        <v>8309</v>
      </c>
      <c r="H306">
        <v>2008</v>
      </c>
      <c r="I306">
        <v>1217</v>
      </c>
      <c r="J306">
        <v>654</v>
      </c>
      <c r="K306">
        <v>116652.11</v>
      </c>
      <c r="L306">
        <v>2196952.4</v>
      </c>
      <c r="M306" s="2" t="s">
        <v>20</v>
      </c>
      <c r="N306">
        <v>3.0195878911218519</v>
      </c>
      <c r="O306">
        <v>14.039247803586473</v>
      </c>
      <c r="P306">
        <v>24.166566373811531</v>
      </c>
      <c r="Q306">
        <v>178.36714067278288</v>
      </c>
      <c r="R306">
        <v>18.83337043796293</v>
      </c>
    </row>
    <row r="307" spans="1:18" x14ac:dyDescent="0.25">
      <c r="A307" s="1">
        <v>45535</v>
      </c>
      <c r="B307" s="2" t="s">
        <v>27</v>
      </c>
      <c r="C307" s="2" t="s">
        <v>28</v>
      </c>
      <c r="D307" s="2" t="s">
        <v>29</v>
      </c>
      <c r="E307" s="2" t="s">
        <v>40</v>
      </c>
      <c r="F307">
        <v>188007</v>
      </c>
      <c r="G307">
        <v>12565</v>
      </c>
      <c r="H307">
        <v>2831</v>
      </c>
      <c r="I307">
        <v>1364</v>
      </c>
      <c r="J307">
        <v>556</v>
      </c>
      <c r="K307">
        <v>100933.35</v>
      </c>
      <c r="L307">
        <v>2063936.01</v>
      </c>
      <c r="M307" s="2" t="s">
        <v>20</v>
      </c>
      <c r="N307">
        <v>6.6832617934438607</v>
      </c>
      <c r="O307">
        <v>8.0328969359331488</v>
      </c>
      <c r="P307">
        <v>22.530839633903703</v>
      </c>
      <c r="Q307">
        <v>181.53480215827338</v>
      </c>
      <c r="R307">
        <v>20.448503988027742</v>
      </c>
    </row>
    <row r="308" spans="1:18" x14ac:dyDescent="0.25">
      <c r="A308" s="1">
        <v>45536</v>
      </c>
      <c r="B308" s="2" t="s">
        <v>27</v>
      </c>
      <c r="C308" s="2" t="s">
        <v>28</v>
      </c>
      <c r="D308" s="2" t="s">
        <v>29</v>
      </c>
      <c r="E308" s="2" t="s">
        <v>40</v>
      </c>
      <c r="F308">
        <v>277995</v>
      </c>
      <c r="G308">
        <v>17323</v>
      </c>
      <c r="H308">
        <v>3307</v>
      </c>
      <c r="I308">
        <v>1962</v>
      </c>
      <c r="J308">
        <v>807</v>
      </c>
      <c r="K308">
        <v>119949.55</v>
      </c>
      <c r="L308">
        <v>3907589.22</v>
      </c>
      <c r="M308" s="2" t="s">
        <v>21</v>
      </c>
      <c r="N308">
        <v>6.2314070396949583</v>
      </c>
      <c r="O308">
        <v>6.9242942908272243</v>
      </c>
      <c r="P308">
        <v>19.09022686601628</v>
      </c>
      <c r="Q308">
        <v>148.63636926889714</v>
      </c>
      <c r="R308">
        <v>32.576939388267817</v>
      </c>
    </row>
    <row r="309" spans="1:18" x14ac:dyDescent="0.25">
      <c r="A309" s="1">
        <v>45537</v>
      </c>
      <c r="B309" s="2" t="s">
        <v>27</v>
      </c>
      <c r="C309" s="2" t="s">
        <v>28</v>
      </c>
      <c r="D309" s="2" t="s">
        <v>29</v>
      </c>
      <c r="E309" s="2" t="s">
        <v>38</v>
      </c>
      <c r="F309">
        <v>204641</v>
      </c>
      <c r="G309">
        <v>14981</v>
      </c>
      <c r="H309">
        <v>3396</v>
      </c>
      <c r="I309">
        <v>1681</v>
      </c>
      <c r="J309">
        <v>682</v>
      </c>
      <c r="K309">
        <v>155414.22</v>
      </c>
      <c r="L309">
        <v>5373759.0999999996</v>
      </c>
      <c r="M309" s="2" t="s">
        <v>22</v>
      </c>
      <c r="N309">
        <v>7.3206248992137457</v>
      </c>
      <c r="O309">
        <v>10.374088512115346</v>
      </c>
      <c r="P309">
        <v>22.668713704025098</v>
      </c>
      <c r="Q309">
        <v>227.88008797653958</v>
      </c>
      <c r="R309">
        <v>34.577010391970568</v>
      </c>
    </row>
    <row r="310" spans="1:18" x14ac:dyDescent="0.25">
      <c r="A310" s="1">
        <v>45538</v>
      </c>
      <c r="B310" s="2" t="s">
        <v>27</v>
      </c>
      <c r="C310" s="2" t="s">
        <v>28</v>
      </c>
      <c r="D310" s="2" t="s">
        <v>29</v>
      </c>
      <c r="E310" s="2" t="s">
        <v>39</v>
      </c>
      <c r="F310">
        <v>80461</v>
      </c>
      <c r="G310">
        <v>5310</v>
      </c>
      <c r="H310">
        <v>1043</v>
      </c>
      <c r="I310">
        <v>626</v>
      </c>
      <c r="J310">
        <v>251</v>
      </c>
      <c r="K310">
        <v>56362.02</v>
      </c>
      <c r="L310">
        <v>988491.69</v>
      </c>
      <c r="M310" s="2" t="s">
        <v>21</v>
      </c>
      <c r="N310">
        <v>6.5994705509501497</v>
      </c>
      <c r="O310">
        <v>10.614316384180791</v>
      </c>
      <c r="P310">
        <v>19.642184557438792</v>
      </c>
      <c r="Q310">
        <v>224.54988047808763</v>
      </c>
      <c r="R310">
        <v>17.538258742323286</v>
      </c>
    </row>
    <row r="311" spans="1:18" x14ac:dyDescent="0.25">
      <c r="A311" s="1">
        <v>45539</v>
      </c>
      <c r="B311" s="2" t="s">
        <v>27</v>
      </c>
      <c r="C311" s="2" t="s">
        <v>28</v>
      </c>
      <c r="D311" s="2" t="s">
        <v>29</v>
      </c>
      <c r="E311" s="2" t="s">
        <v>38</v>
      </c>
      <c r="F311">
        <v>225116</v>
      </c>
      <c r="G311">
        <v>11836</v>
      </c>
      <c r="H311">
        <v>2871</v>
      </c>
      <c r="I311">
        <v>1828</v>
      </c>
      <c r="J311">
        <v>993</v>
      </c>
      <c r="K311">
        <v>145813.18</v>
      </c>
      <c r="L311">
        <v>7254951.4199999999</v>
      </c>
      <c r="M311" s="2" t="s">
        <v>23</v>
      </c>
      <c r="N311">
        <v>5.2577337905790795</v>
      </c>
      <c r="O311">
        <v>12.319464346062858</v>
      </c>
      <c r="P311">
        <v>24.25650557620818</v>
      </c>
      <c r="Q311">
        <v>146.84106747230612</v>
      </c>
      <c r="R311">
        <v>49.755114181036312</v>
      </c>
    </row>
    <row r="312" spans="1:18" x14ac:dyDescent="0.25">
      <c r="A312" s="1">
        <v>45540</v>
      </c>
      <c r="B312" s="2" t="s">
        <v>27</v>
      </c>
      <c r="C312" s="2" t="s">
        <v>28</v>
      </c>
      <c r="D312" s="2" t="s">
        <v>29</v>
      </c>
      <c r="E312" s="2" t="s">
        <v>38</v>
      </c>
      <c r="F312">
        <v>116737</v>
      </c>
      <c r="G312">
        <v>9182</v>
      </c>
      <c r="H312">
        <v>1836</v>
      </c>
      <c r="I312">
        <v>1173</v>
      </c>
      <c r="J312">
        <v>621</v>
      </c>
      <c r="K312">
        <v>99175.679999999993</v>
      </c>
      <c r="L312">
        <v>2537615.16</v>
      </c>
      <c r="M312" s="2" t="s">
        <v>23</v>
      </c>
      <c r="N312">
        <v>7.8655439149541273</v>
      </c>
      <c r="O312">
        <v>10.801097800043562</v>
      </c>
      <c r="P312">
        <v>19.995643650620778</v>
      </c>
      <c r="Q312">
        <v>159.70318840579708</v>
      </c>
      <c r="R312">
        <v>25.587070943198981</v>
      </c>
    </row>
    <row r="313" spans="1:18" x14ac:dyDescent="0.25">
      <c r="A313" s="1">
        <v>45541</v>
      </c>
      <c r="B313" s="2" t="s">
        <v>27</v>
      </c>
      <c r="C313" s="2" t="s">
        <v>28</v>
      </c>
      <c r="D313" s="2" t="s">
        <v>29</v>
      </c>
      <c r="E313" s="2" t="s">
        <v>39</v>
      </c>
      <c r="F313">
        <v>63297</v>
      </c>
      <c r="G313">
        <v>4534</v>
      </c>
      <c r="H313">
        <v>954</v>
      </c>
      <c r="I313">
        <v>479</v>
      </c>
      <c r="J313">
        <v>279</v>
      </c>
      <c r="K313">
        <v>50866.84</v>
      </c>
      <c r="L313">
        <v>2142106.16</v>
      </c>
      <c r="M313" s="2" t="s">
        <v>22</v>
      </c>
      <c r="N313">
        <v>7.1630567009494923</v>
      </c>
      <c r="O313">
        <v>11.218976621085133</v>
      </c>
      <c r="P313">
        <v>21.041023378914865</v>
      </c>
      <c r="Q313">
        <v>182.31842293906809</v>
      </c>
      <c r="R313">
        <v>42.112035266983369</v>
      </c>
    </row>
    <row r="314" spans="1:18" x14ac:dyDescent="0.25">
      <c r="A314" s="1">
        <v>45542</v>
      </c>
      <c r="B314" s="2" t="s">
        <v>27</v>
      </c>
      <c r="C314" s="2" t="s">
        <v>28</v>
      </c>
      <c r="D314" s="2" t="s">
        <v>29</v>
      </c>
      <c r="E314" s="2" t="s">
        <v>39</v>
      </c>
      <c r="F314">
        <v>58123</v>
      </c>
      <c r="G314">
        <v>2245</v>
      </c>
      <c r="H314">
        <v>487</v>
      </c>
      <c r="I314">
        <v>238</v>
      </c>
      <c r="J314">
        <v>102</v>
      </c>
      <c r="K314">
        <v>48037.73</v>
      </c>
      <c r="L314">
        <v>806657.5</v>
      </c>
      <c r="M314" s="2" t="s">
        <v>19</v>
      </c>
      <c r="N314">
        <v>3.8624984945718559</v>
      </c>
      <c r="O314">
        <v>21.397652561247217</v>
      </c>
      <c r="P314">
        <v>21.692650334075726</v>
      </c>
      <c r="Q314">
        <v>470.958137254902</v>
      </c>
      <c r="R314">
        <v>16.792165241779742</v>
      </c>
    </row>
    <row r="315" spans="1:18" x14ac:dyDescent="0.25">
      <c r="A315" s="1">
        <v>45543</v>
      </c>
      <c r="B315" s="2" t="s">
        <v>27</v>
      </c>
      <c r="C315" s="2" t="s">
        <v>28</v>
      </c>
      <c r="D315" s="2" t="s">
        <v>29</v>
      </c>
      <c r="E315" s="2" t="s">
        <v>38</v>
      </c>
      <c r="F315">
        <v>245747</v>
      </c>
      <c r="G315">
        <v>19560</v>
      </c>
      <c r="H315">
        <v>3600</v>
      </c>
      <c r="I315">
        <v>2070</v>
      </c>
      <c r="J315">
        <v>927</v>
      </c>
      <c r="K315">
        <v>200843.09</v>
      </c>
      <c r="L315">
        <v>3867146.21</v>
      </c>
      <c r="M315" s="2" t="s">
        <v>19</v>
      </c>
      <c r="N315">
        <v>7.9594054047455316</v>
      </c>
      <c r="O315">
        <v>10.268051635991819</v>
      </c>
      <c r="P315">
        <v>18.404907975460123</v>
      </c>
      <c r="Q315">
        <v>216.65921251348436</v>
      </c>
      <c r="R315">
        <v>19.254564396514713</v>
      </c>
    </row>
    <row r="316" spans="1:18" x14ac:dyDescent="0.25">
      <c r="A316" s="1">
        <v>45544</v>
      </c>
      <c r="B316" s="2" t="s">
        <v>27</v>
      </c>
      <c r="C316" s="2" t="s">
        <v>28</v>
      </c>
      <c r="D316" s="2" t="s">
        <v>29</v>
      </c>
      <c r="E316" s="2" t="s">
        <v>38</v>
      </c>
      <c r="F316">
        <v>84497</v>
      </c>
      <c r="G316">
        <v>2556</v>
      </c>
      <c r="H316">
        <v>527</v>
      </c>
      <c r="I316">
        <v>306</v>
      </c>
      <c r="J316">
        <v>147</v>
      </c>
      <c r="K316">
        <v>40400.53</v>
      </c>
      <c r="L316">
        <v>517443.61</v>
      </c>
      <c r="M316" s="2" t="s">
        <v>21</v>
      </c>
      <c r="N316">
        <v>3.0249594660165453</v>
      </c>
      <c r="O316">
        <v>15.80615414710485</v>
      </c>
      <c r="P316">
        <v>20.618153364632239</v>
      </c>
      <c r="Q316">
        <v>274.83353741496597</v>
      </c>
      <c r="R316">
        <v>12.807842124843411</v>
      </c>
    </row>
    <row r="317" spans="1:18" x14ac:dyDescent="0.25">
      <c r="A317" s="1">
        <v>45545</v>
      </c>
      <c r="B317" s="2" t="s">
        <v>27</v>
      </c>
      <c r="C317" s="2" t="s">
        <v>28</v>
      </c>
      <c r="D317" s="2" t="s">
        <v>29</v>
      </c>
      <c r="E317" s="2" t="s">
        <v>38</v>
      </c>
      <c r="F317">
        <v>241659</v>
      </c>
      <c r="G317">
        <v>17679</v>
      </c>
      <c r="H317">
        <v>2873</v>
      </c>
      <c r="I317">
        <v>1586</v>
      </c>
      <c r="J317">
        <v>722</v>
      </c>
      <c r="K317">
        <v>135221.60999999999</v>
      </c>
      <c r="L317">
        <v>4879841.2300000004</v>
      </c>
      <c r="M317" s="2" t="s">
        <v>21</v>
      </c>
      <c r="N317">
        <v>7.3156803595148538</v>
      </c>
      <c r="O317">
        <v>7.6487137281520443</v>
      </c>
      <c r="P317">
        <v>16.25091916963629</v>
      </c>
      <c r="Q317">
        <v>187.28754847645428</v>
      </c>
      <c r="R317">
        <v>36.087732057028468</v>
      </c>
    </row>
    <row r="318" spans="1:18" x14ac:dyDescent="0.25">
      <c r="A318" s="1">
        <v>45546</v>
      </c>
      <c r="B318" s="2" t="s">
        <v>27</v>
      </c>
      <c r="C318" s="2" t="s">
        <v>28</v>
      </c>
      <c r="D318" s="2" t="s">
        <v>29</v>
      </c>
      <c r="E318" s="2" t="s">
        <v>39</v>
      </c>
      <c r="F318">
        <v>65507</v>
      </c>
      <c r="G318">
        <v>2625</v>
      </c>
      <c r="H318">
        <v>419</v>
      </c>
      <c r="I318">
        <v>269</v>
      </c>
      <c r="J318">
        <v>116</v>
      </c>
      <c r="K318">
        <v>58810.83</v>
      </c>
      <c r="L318">
        <v>812926.32</v>
      </c>
      <c r="M318" s="2" t="s">
        <v>19</v>
      </c>
      <c r="N318">
        <v>4.0072053368342315</v>
      </c>
      <c r="O318">
        <v>22.404125714285716</v>
      </c>
      <c r="P318">
        <v>15.961904761904764</v>
      </c>
      <c r="Q318">
        <v>506.98991379310348</v>
      </c>
      <c r="R318">
        <v>13.822731629531498</v>
      </c>
    </row>
    <row r="319" spans="1:18" x14ac:dyDescent="0.25">
      <c r="A319" s="1">
        <v>45547</v>
      </c>
      <c r="B319" s="2" t="s">
        <v>27</v>
      </c>
      <c r="C319" s="2" t="s">
        <v>28</v>
      </c>
      <c r="D319" s="2" t="s">
        <v>29</v>
      </c>
      <c r="E319" s="2" t="s">
        <v>38</v>
      </c>
      <c r="F319">
        <v>89606</v>
      </c>
      <c r="G319">
        <v>3064</v>
      </c>
      <c r="H319">
        <v>523</v>
      </c>
      <c r="I319">
        <v>302</v>
      </c>
      <c r="J319">
        <v>174</v>
      </c>
      <c r="K319">
        <v>82237.509999999995</v>
      </c>
      <c r="L319">
        <v>1090015.6399999999</v>
      </c>
      <c r="M319" s="2" t="s">
        <v>22</v>
      </c>
      <c r="N319">
        <v>3.4194138785349195</v>
      </c>
      <c r="O319">
        <v>26.839918407310702</v>
      </c>
      <c r="P319">
        <v>17.069190600522195</v>
      </c>
      <c r="Q319">
        <v>472.62936781609193</v>
      </c>
      <c r="R319">
        <v>13.254482534794645</v>
      </c>
    </row>
    <row r="320" spans="1:18" x14ac:dyDescent="0.25">
      <c r="A320" s="1">
        <v>45548</v>
      </c>
      <c r="B320" s="2" t="s">
        <v>27</v>
      </c>
      <c r="C320" s="2" t="s">
        <v>28</v>
      </c>
      <c r="D320" s="2" t="s">
        <v>29</v>
      </c>
      <c r="E320" s="2" t="s">
        <v>40</v>
      </c>
      <c r="F320">
        <v>288944</v>
      </c>
      <c r="G320">
        <v>22296</v>
      </c>
      <c r="H320">
        <v>3936</v>
      </c>
      <c r="I320">
        <v>2456</v>
      </c>
      <c r="J320">
        <v>1336</v>
      </c>
      <c r="K320">
        <v>268441.11</v>
      </c>
      <c r="L320">
        <v>10200618.609999999</v>
      </c>
      <c r="M320" s="2" t="s">
        <v>20</v>
      </c>
      <c r="N320">
        <v>7.7163741070934151</v>
      </c>
      <c r="O320">
        <v>12.039877556512378</v>
      </c>
      <c r="P320">
        <v>17.653390742734125</v>
      </c>
      <c r="Q320">
        <v>200.9289745508982</v>
      </c>
      <c r="R320">
        <v>37.999465171336837</v>
      </c>
    </row>
    <row r="321" spans="1:18" x14ac:dyDescent="0.25">
      <c r="A321" s="1">
        <v>45549</v>
      </c>
      <c r="B321" s="2" t="s">
        <v>27</v>
      </c>
      <c r="C321" s="2" t="s">
        <v>28</v>
      </c>
      <c r="D321" s="2" t="s">
        <v>29</v>
      </c>
      <c r="E321" s="2" t="s">
        <v>40</v>
      </c>
      <c r="F321">
        <v>61065</v>
      </c>
      <c r="G321">
        <v>3349</v>
      </c>
      <c r="H321">
        <v>511</v>
      </c>
      <c r="I321">
        <v>253</v>
      </c>
      <c r="J321">
        <v>103</v>
      </c>
      <c r="K321">
        <v>50674.5</v>
      </c>
      <c r="L321">
        <v>618470.9</v>
      </c>
      <c r="M321" s="2" t="s">
        <v>21</v>
      </c>
      <c r="N321">
        <v>5.4843199868992061</v>
      </c>
      <c r="O321">
        <v>15.131233203941475</v>
      </c>
      <c r="P321">
        <v>15.258286055538967</v>
      </c>
      <c r="Q321">
        <v>491.98543689320388</v>
      </c>
      <c r="R321">
        <v>12.204775577460063</v>
      </c>
    </row>
    <row r="322" spans="1:18" x14ac:dyDescent="0.25">
      <c r="A322" s="1">
        <v>45550</v>
      </c>
      <c r="B322" s="2" t="s">
        <v>27</v>
      </c>
      <c r="C322" s="2" t="s">
        <v>28</v>
      </c>
      <c r="D322" s="2" t="s">
        <v>29</v>
      </c>
      <c r="E322" s="2" t="s">
        <v>38</v>
      </c>
      <c r="F322">
        <v>52998</v>
      </c>
      <c r="G322">
        <v>2691</v>
      </c>
      <c r="H322">
        <v>556</v>
      </c>
      <c r="I322">
        <v>360</v>
      </c>
      <c r="J322">
        <v>169</v>
      </c>
      <c r="K322">
        <v>42374.05</v>
      </c>
      <c r="L322">
        <v>1263776.46</v>
      </c>
      <c r="M322" s="2" t="s">
        <v>23</v>
      </c>
      <c r="N322">
        <v>5.0775500962300466</v>
      </c>
      <c r="O322">
        <v>15.746581196581198</v>
      </c>
      <c r="P322">
        <v>20.661464139725009</v>
      </c>
      <c r="Q322">
        <v>250.73402366863908</v>
      </c>
      <c r="R322">
        <v>29.824301901753547</v>
      </c>
    </row>
    <row r="323" spans="1:18" x14ac:dyDescent="0.25">
      <c r="A323" s="1">
        <v>45551</v>
      </c>
      <c r="B323" s="2" t="s">
        <v>27</v>
      </c>
      <c r="C323" s="2" t="s">
        <v>28</v>
      </c>
      <c r="D323" s="2" t="s">
        <v>29</v>
      </c>
      <c r="E323" s="2" t="s">
        <v>38</v>
      </c>
      <c r="F323">
        <v>188733</v>
      </c>
      <c r="G323">
        <v>6063</v>
      </c>
      <c r="H323">
        <v>1486</v>
      </c>
      <c r="I323">
        <v>848</v>
      </c>
      <c r="J323">
        <v>495</v>
      </c>
      <c r="K323">
        <v>117044.6</v>
      </c>
      <c r="L323">
        <v>1718164.73</v>
      </c>
      <c r="M323" s="2" t="s">
        <v>19</v>
      </c>
      <c r="N323">
        <v>3.2124747659391844</v>
      </c>
      <c r="O323">
        <v>19.304733630216067</v>
      </c>
      <c r="P323">
        <v>24.509318819066468</v>
      </c>
      <c r="Q323">
        <v>236.4537373737374</v>
      </c>
      <c r="R323">
        <v>14.679572829502598</v>
      </c>
    </row>
    <row r="324" spans="1:18" x14ac:dyDescent="0.25">
      <c r="A324" s="1">
        <v>45552</v>
      </c>
      <c r="B324" s="2" t="s">
        <v>27</v>
      </c>
      <c r="C324" s="2" t="s">
        <v>28</v>
      </c>
      <c r="D324" s="2" t="s">
        <v>29</v>
      </c>
      <c r="E324" s="2" t="s">
        <v>39</v>
      </c>
      <c r="F324">
        <v>264523</v>
      </c>
      <c r="G324">
        <v>8422</v>
      </c>
      <c r="H324">
        <v>1397</v>
      </c>
      <c r="I324">
        <v>690</v>
      </c>
      <c r="J324">
        <v>285</v>
      </c>
      <c r="K324">
        <v>174372.08</v>
      </c>
      <c r="L324">
        <v>2190322.56</v>
      </c>
      <c r="M324" s="2" t="s">
        <v>20</v>
      </c>
      <c r="N324">
        <v>3.1838441269757261</v>
      </c>
      <c r="O324">
        <v>20.704355260033246</v>
      </c>
      <c r="P324">
        <v>16.587508905248161</v>
      </c>
      <c r="Q324">
        <v>611.83185964912275</v>
      </c>
      <c r="R324">
        <v>12.561199935218989</v>
      </c>
    </row>
    <row r="325" spans="1:18" x14ac:dyDescent="0.25">
      <c r="A325" s="1">
        <v>45553</v>
      </c>
      <c r="B325" s="2" t="s">
        <v>27</v>
      </c>
      <c r="C325" s="2" t="s">
        <v>28</v>
      </c>
      <c r="D325" s="2" t="s">
        <v>29</v>
      </c>
      <c r="E325" s="2" t="s">
        <v>38</v>
      </c>
      <c r="F325">
        <v>99863</v>
      </c>
      <c r="G325">
        <v>5899</v>
      </c>
      <c r="H325">
        <v>1473</v>
      </c>
      <c r="I325">
        <v>894</v>
      </c>
      <c r="J325">
        <v>463</v>
      </c>
      <c r="K325">
        <v>73758.95</v>
      </c>
      <c r="L325">
        <v>1765141.51</v>
      </c>
      <c r="M325" s="2" t="s">
        <v>21</v>
      </c>
      <c r="N325">
        <v>5.9070927170223202</v>
      </c>
      <c r="O325">
        <v>12.503636209527038</v>
      </c>
      <c r="P325">
        <v>24.970333954907613</v>
      </c>
      <c r="Q325">
        <v>159.30658747300217</v>
      </c>
      <c r="R325">
        <v>23.9312179742255</v>
      </c>
    </row>
    <row r="326" spans="1:18" x14ac:dyDescent="0.25">
      <c r="A326" s="1">
        <v>45554</v>
      </c>
      <c r="B326" s="2" t="s">
        <v>27</v>
      </c>
      <c r="C326" s="2" t="s">
        <v>28</v>
      </c>
      <c r="D326" s="2" t="s">
        <v>29</v>
      </c>
      <c r="E326" s="2" t="s">
        <v>40</v>
      </c>
      <c r="F326">
        <v>76229</v>
      </c>
      <c r="G326">
        <v>4994</v>
      </c>
      <c r="H326">
        <v>1189</v>
      </c>
      <c r="I326">
        <v>748</v>
      </c>
      <c r="J326">
        <v>448</v>
      </c>
      <c r="K326">
        <v>38131.31</v>
      </c>
      <c r="L326">
        <v>2070391.74</v>
      </c>
      <c r="M326" s="2" t="s">
        <v>20</v>
      </c>
      <c r="N326">
        <v>6.5513124926209185</v>
      </c>
      <c r="O326">
        <v>7.6354245094112931</v>
      </c>
      <c r="P326">
        <v>23.808570284341211</v>
      </c>
      <c r="Q326">
        <v>85.114531249999999</v>
      </c>
      <c r="R326">
        <v>54.296370620364215</v>
      </c>
    </row>
    <row r="327" spans="1:18" x14ac:dyDescent="0.25">
      <c r="A327" s="1">
        <v>45555</v>
      </c>
      <c r="B327" s="2" t="s">
        <v>27</v>
      </c>
      <c r="C327" s="2" t="s">
        <v>28</v>
      </c>
      <c r="D327" s="2" t="s">
        <v>29</v>
      </c>
      <c r="E327" s="2" t="s">
        <v>38</v>
      </c>
      <c r="F327">
        <v>121757</v>
      </c>
      <c r="G327">
        <v>6018</v>
      </c>
      <c r="H327">
        <v>1136</v>
      </c>
      <c r="I327">
        <v>664</v>
      </c>
      <c r="J327">
        <v>374</v>
      </c>
      <c r="K327">
        <v>107787.88</v>
      </c>
      <c r="L327">
        <v>2220089.2400000002</v>
      </c>
      <c r="M327" s="2" t="s">
        <v>23</v>
      </c>
      <c r="N327">
        <v>4.9426316351421269</v>
      </c>
      <c r="O327">
        <v>17.910913924891993</v>
      </c>
      <c r="P327">
        <v>18.876703223662346</v>
      </c>
      <c r="Q327">
        <v>288.20288770053475</v>
      </c>
      <c r="R327">
        <v>20.5968355625883</v>
      </c>
    </row>
    <row r="328" spans="1:18" x14ac:dyDescent="0.25">
      <c r="A328" s="1">
        <v>45556</v>
      </c>
      <c r="B328" s="2" t="s">
        <v>27</v>
      </c>
      <c r="C328" s="2" t="s">
        <v>28</v>
      </c>
      <c r="D328" s="2" t="s">
        <v>29</v>
      </c>
      <c r="E328" s="2" t="s">
        <v>40</v>
      </c>
      <c r="F328">
        <v>114298</v>
      </c>
      <c r="G328">
        <v>4785</v>
      </c>
      <c r="H328">
        <v>1131</v>
      </c>
      <c r="I328">
        <v>713</v>
      </c>
      <c r="J328">
        <v>345</v>
      </c>
      <c r="K328">
        <v>80918.92</v>
      </c>
      <c r="L328">
        <v>2265577.65</v>
      </c>
      <c r="M328" s="2" t="s">
        <v>20</v>
      </c>
      <c r="N328">
        <v>4.1864249593168736</v>
      </c>
      <c r="O328">
        <v>16.910955067920586</v>
      </c>
      <c r="P328">
        <v>23.636363636363637</v>
      </c>
      <c r="Q328">
        <v>234.54759420289855</v>
      </c>
      <c r="R328">
        <v>27.998120217125983</v>
      </c>
    </row>
    <row r="329" spans="1:18" x14ac:dyDescent="0.25">
      <c r="A329" s="1">
        <v>45557</v>
      </c>
      <c r="B329" s="2" t="s">
        <v>27</v>
      </c>
      <c r="C329" s="2" t="s">
        <v>28</v>
      </c>
      <c r="D329" s="2" t="s">
        <v>29</v>
      </c>
      <c r="E329" s="2" t="s">
        <v>38</v>
      </c>
      <c r="F329">
        <v>105308</v>
      </c>
      <c r="G329">
        <v>7365</v>
      </c>
      <c r="H329">
        <v>1272</v>
      </c>
      <c r="I329">
        <v>726</v>
      </c>
      <c r="J329">
        <v>432</v>
      </c>
      <c r="K329">
        <v>43967.23</v>
      </c>
      <c r="L329">
        <v>2323390.4500000002</v>
      </c>
      <c r="M329" s="2" t="s">
        <v>20</v>
      </c>
      <c r="N329">
        <v>6.9937706537015227</v>
      </c>
      <c r="O329">
        <v>5.9697528852681607</v>
      </c>
      <c r="P329">
        <v>17.270875763747455</v>
      </c>
      <c r="Q329">
        <v>101.77599537037038</v>
      </c>
      <c r="R329">
        <v>52.843684944446125</v>
      </c>
    </row>
    <row r="330" spans="1:18" x14ac:dyDescent="0.25">
      <c r="A330" s="1">
        <v>45558</v>
      </c>
      <c r="B330" s="2" t="s">
        <v>27</v>
      </c>
      <c r="C330" s="2" t="s">
        <v>28</v>
      </c>
      <c r="D330" s="2" t="s">
        <v>29</v>
      </c>
      <c r="E330" s="2" t="s">
        <v>39</v>
      </c>
      <c r="F330">
        <v>136857</v>
      </c>
      <c r="G330">
        <v>9505</v>
      </c>
      <c r="H330">
        <v>1522</v>
      </c>
      <c r="I330">
        <v>788</v>
      </c>
      <c r="J330">
        <v>362</v>
      </c>
      <c r="K330">
        <v>65108.72</v>
      </c>
      <c r="L330">
        <v>1489069.41</v>
      </c>
      <c r="M330" s="2" t="s">
        <v>23</v>
      </c>
      <c r="N330">
        <v>6.9452055795465348</v>
      </c>
      <c r="O330">
        <v>6.8499442398737509</v>
      </c>
      <c r="P330">
        <v>16.012624934245135</v>
      </c>
      <c r="Q330">
        <v>179.85834254143646</v>
      </c>
      <c r="R330">
        <v>22.870506592665311</v>
      </c>
    </row>
    <row r="331" spans="1:18" x14ac:dyDescent="0.25">
      <c r="A331" s="1">
        <v>45559</v>
      </c>
      <c r="B331" s="2" t="s">
        <v>27</v>
      </c>
      <c r="C331" s="2" t="s">
        <v>28</v>
      </c>
      <c r="D331" s="2" t="s">
        <v>29</v>
      </c>
      <c r="E331" s="2" t="s">
        <v>38</v>
      </c>
      <c r="F331">
        <v>134230</v>
      </c>
      <c r="G331">
        <v>8702</v>
      </c>
      <c r="H331">
        <v>1365</v>
      </c>
      <c r="I331">
        <v>650</v>
      </c>
      <c r="J331">
        <v>332</v>
      </c>
      <c r="K331">
        <v>124821.77</v>
      </c>
      <c r="L331">
        <v>1474440.35</v>
      </c>
      <c r="M331" s="2" t="s">
        <v>19</v>
      </c>
      <c r="N331">
        <v>6.4829024808165086</v>
      </c>
      <c r="O331">
        <v>14.34403240634337</v>
      </c>
      <c r="P331">
        <v>15.68604918409561</v>
      </c>
      <c r="Q331">
        <v>375.96918674698799</v>
      </c>
      <c r="R331">
        <v>11.812365343000664</v>
      </c>
    </row>
    <row r="332" spans="1:18" x14ac:dyDescent="0.25">
      <c r="A332" s="1">
        <v>45560</v>
      </c>
      <c r="B332" s="2" t="s">
        <v>27</v>
      </c>
      <c r="C332" s="2" t="s">
        <v>28</v>
      </c>
      <c r="D332" s="2" t="s">
        <v>29</v>
      </c>
      <c r="E332" s="2" t="s">
        <v>39</v>
      </c>
      <c r="F332">
        <v>262940</v>
      </c>
      <c r="G332">
        <v>21020</v>
      </c>
      <c r="H332">
        <v>4963</v>
      </c>
      <c r="I332">
        <v>2852</v>
      </c>
      <c r="J332">
        <v>1664</v>
      </c>
      <c r="K332">
        <v>200318.65</v>
      </c>
      <c r="L332">
        <v>7439846.2800000003</v>
      </c>
      <c r="M332" s="2" t="s">
        <v>20</v>
      </c>
      <c r="N332">
        <v>7.9942192135087851</v>
      </c>
      <c r="O332">
        <v>9.529907231208373</v>
      </c>
      <c r="P332">
        <v>23.610846812559465</v>
      </c>
      <c r="Q332">
        <v>120.38380408653846</v>
      </c>
      <c r="R332">
        <v>37.140058002587381</v>
      </c>
    </row>
    <row r="333" spans="1:18" x14ac:dyDescent="0.25">
      <c r="A333" s="1">
        <v>45561</v>
      </c>
      <c r="B333" s="2" t="s">
        <v>27</v>
      </c>
      <c r="C333" s="2" t="s">
        <v>28</v>
      </c>
      <c r="D333" s="2" t="s">
        <v>29</v>
      </c>
      <c r="E333" s="2" t="s">
        <v>40</v>
      </c>
      <c r="F333">
        <v>273481</v>
      </c>
      <c r="G333">
        <v>17743</v>
      </c>
      <c r="H333">
        <v>3097</v>
      </c>
      <c r="I333">
        <v>1835</v>
      </c>
      <c r="J333">
        <v>1000</v>
      </c>
      <c r="K333">
        <v>262907.98</v>
      </c>
      <c r="L333">
        <v>7305475.8899999997</v>
      </c>
      <c r="M333" s="2" t="s">
        <v>23</v>
      </c>
      <c r="N333">
        <v>6.4878364493328604</v>
      </c>
      <c r="O333">
        <v>14.81756072817449</v>
      </c>
      <c r="P333">
        <v>17.454770895564447</v>
      </c>
      <c r="Q333">
        <v>262.90798000000001</v>
      </c>
      <c r="R333">
        <v>27.787197216303593</v>
      </c>
    </row>
    <row r="334" spans="1:18" x14ac:dyDescent="0.25">
      <c r="A334" s="1">
        <v>45562</v>
      </c>
      <c r="B334" s="2" t="s">
        <v>27</v>
      </c>
      <c r="C334" s="2" t="s">
        <v>28</v>
      </c>
      <c r="D334" s="2" t="s">
        <v>29</v>
      </c>
      <c r="E334" s="2" t="s">
        <v>38</v>
      </c>
      <c r="F334">
        <v>81135</v>
      </c>
      <c r="G334">
        <v>4547</v>
      </c>
      <c r="H334">
        <v>1123</v>
      </c>
      <c r="I334">
        <v>543</v>
      </c>
      <c r="J334">
        <v>325</v>
      </c>
      <c r="K334">
        <v>72931.67</v>
      </c>
      <c r="L334">
        <v>1570056.62</v>
      </c>
      <c r="M334" s="2" t="s">
        <v>20</v>
      </c>
      <c r="N334">
        <v>5.6042398471682997</v>
      </c>
      <c r="O334">
        <v>16.039513965251814</v>
      </c>
      <c r="P334">
        <v>24.697602815042885</v>
      </c>
      <c r="Q334">
        <v>224.40513846153846</v>
      </c>
      <c r="R334">
        <v>21.527775519194886</v>
      </c>
    </row>
    <row r="335" spans="1:18" x14ac:dyDescent="0.25">
      <c r="A335" s="1">
        <v>45563</v>
      </c>
      <c r="B335" s="2" t="s">
        <v>27</v>
      </c>
      <c r="C335" s="2" t="s">
        <v>28</v>
      </c>
      <c r="D335" s="2" t="s">
        <v>29</v>
      </c>
      <c r="E335" s="2" t="s">
        <v>39</v>
      </c>
      <c r="F335">
        <v>177065</v>
      </c>
      <c r="G335">
        <v>8511</v>
      </c>
      <c r="H335">
        <v>1962</v>
      </c>
      <c r="I335">
        <v>1141</v>
      </c>
      <c r="J335">
        <v>682</v>
      </c>
      <c r="K335">
        <v>126930.36</v>
      </c>
      <c r="L335">
        <v>4613730.38</v>
      </c>
      <c r="M335" s="2" t="s">
        <v>19</v>
      </c>
      <c r="N335">
        <v>4.8067094005026405</v>
      </c>
      <c r="O335">
        <v>14.913683468452591</v>
      </c>
      <c r="P335">
        <v>23.052520267888614</v>
      </c>
      <c r="Q335">
        <v>186.11489736070382</v>
      </c>
      <c r="R335">
        <v>36.348517249931376</v>
      </c>
    </row>
    <row r="336" spans="1:18" x14ac:dyDescent="0.25">
      <c r="A336" s="1">
        <v>45564</v>
      </c>
      <c r="B336" s="2" t="s">
        <v>27</v>
      </c>
      <c r="C336" s="2" t="s">
        <v>28</v>
      </c>
      <c r="D336" s="2" t="s">
        <v>29</v>
      </c>
      <c r="E336" s="2" t="s">
        <v>38</v>
      </c>
      <c r="F336">
        <v>120820</v>
      </c>
      <c r="G336">
        <v>8446</v>
      </c>
      <c r="H336">
        <v>1398</v>
      </c>
      <c r="I336">
        <v>808</v>
      </c>
      <c r="J336">
        <v>382</v>
      </c>
      <c r="K336">
        <v>96604.45</v>
      </c>
      <c r="L336">
        <v>1911053.53</v>
      </c>
      <c r="M336" s="2" t="s">
        <v>23</v>
      </c>
      <c r="N336">
        <v>6.9905644760801184</v>
      </c>
      <c r="O336">
        <v>11.437893677480464</v>
      </c>
      <c r="P336">
        <v>16.552214065829979</v>
      </c>
      <c r="Q336">
        <v>252.89123036649215</v>
      </c>
      <c r="R336">
        <v>19.782251542242619</v>
      </c>
    </row>
    <row r="337" spans="1:18" x14ac:dyDescent="0.25">
      <c r="A337" s="1">
        <v>45565</v>
      </c>
      <c r="B337" s="2" t="s">
        <v>27</v>
      </c>
      <c r="C337" s="2" t="s">
        <v>28</v>
      </c>
      <c r="D337" s="2" t="s">
        <v>29</v>
      </c>
      <c r="E337" s="2" t="s">
        <v>38</v>
      </c>
      <c r="F337">
        <v>108200</v>
      </c>
      <c r="G337">
        <v>3265</v>
      </c>
      <c r="H337">
        <v>588</v>
      </c>
      <c r="I337">
        <v>270</v>
      </c>
      <c r="J337">
        <v>146</v>
      </c>
      <c r="K337">
        <v>90135.86</v>
      </c>
      <c r="L337">
        <v>550296.55000000005</v>
      </c>
      <c r="M337" s="2" t="s">
        <v>22</v>
      </c>
      <c r="N337">
        <v>3.0175600739371533</v>
      </c>
      <c r="O337">
        <v>27.606695252679938</v>
      </c>
      <c r="P337">
        <v>18.009188361408881</v>
      </c>
      <c r="Q337">
        <v>617.36890410958904</v>
      </c>
      <c r="R337">
        <v>6.1051899876475364</v>
      </c>
    </row>
    <row r="338" spans="1:18" x14ac:dyDescent="0.25">
      <c r="A338" s="1">
        <v>45566</v>
      </c>
      <c r="B338" s="2" t="s">
        <v>27</v>
      </c>
      <c r="C338" s="2" t="s">
        <v>28</v>
      </c>
      <c r="D338" s="2" t="s">
        <v>29</v>
      </c>
      <c r="E338" s="2" t="s">
        <v>40</v>
      </c>
      <c r="F338">
        <v>181393</v>
      </c>
      <c r="G338">
        <v>7776</v>
      </c>
      <c r="H338">
        <v>1216</v>
      </c>
      <c r="I338">
        <v>691</v>
      </c>
      <c r="J338">
        <v>308</v>
      </c>
      <c r="K338">
        <v>116710.52</v>
      </c>
      <c r="L338">
        <v>955852.67</v>
      </c>
      <c r="M338" s="2" t="s">
        <v>23</v>
      </c>
      <c r="N338">
        <v>4.2868247396536798</v>
      </c>
      <c r="O338">
        <v>15.009068930041153</v>
      </c>
      <c r="P338">
        <v>15.637860082304528</v>
      </c>
      <c r="Q338">
        <v>378.93025974025977</v>
      </c>
      <c r="R338">
        <v>8.1899444026125501</v>
      </c>
    </row>
    <row r="339" spans="1:18" x14ac:dyDescent="0.25">
      <c r="A339" s="1">
        <v>45567</v>
      </c>
      <c r="B339" s="2" t="s">
        <v>27</v>
      </c>
      <c r="C339" s="2" t="s">
        <v>28</v>
      </c>
      <c r="D339" s="2" t="s">
        <v>29</v>
      </c>
      <c r="E339" s="2" t="s">
        <v>40</v>
      </c>
      <c r="F339">
        <v>188107</v>
      </c>
      <c r="G339">
        <v>11836</v>
      </c>
      <c r="H339">
        <v>2751</v>
      </c>
      <c r="I339">
        <v>1255</v>
      </c>
      <c r="J339">
        <v>668</v>
      </c>
      <c r="K339">
        <v>83985.35</v>
      </c>
      <c r="L339">
        <v>3644883.8</v>
      </c>
      <c r="M339" s="2" t="s">
        <v>20</v>
      </c>
      <c r="N339">
        <v>6.2921635026873011</v>
      </c>
      <c r="O339">
        <v>7.0957544778641441</v>
      </c>
      <c r="P339">
        <v>23.242649543764784</v>
      </c>
      <c r="Q339">
        <v>125.72657185628744</v>
      </c>
      <c r="R339">
        <v>43.399042809251846</v>
      </c>
    </row>
    <row r="340" spans="1:18" x14ac:dyDescent="0.25">
      <c r="A340" s="1">
        <v>45568</v>
      </c>
      <c r="B340" s="2" t="s">
        <v>27</v>
      </c>
      <c r="C340" s="2" t="s">
        <v>28</v>
      </c>
      <c r="D340" s="2" t="s">
        <v>29</v>
      </c>
      <c r="E340" s="2" t="s">
        <v>38</v>
      </c>
      <c r="F340">
        <v>136913</v>
      </c>
      <c r="G340">
        <v>4144</v>
      </c>
      <c r="H340">
        <v>997</v>
      </c>
      <c r="I340">
        <v>508</v>
      </c>
      <c r="J340">
        <v>257</v>
      </c>
      <c r="K340">
        <v>88554.32</v>
      </c>
      <c r="L340">
        <v>1706756.01</v>
      </c>
      <c r="M340" s="2" t="s">
        <v>23</v>
      </c>
      <c r="N340">
        <v>3.0267396083644358</v>
      </c>
      <c r="O340">
        <v>21.369285714285716</v>
      </c>
      <c r="P340">
        <v>24.058880308880308</v>
      </c>
      <c r="Q340">
        <v>344.56933852140082</v>
      </c>
      <c r="R340">
        <v>19.273548822914567</v>
      </c>
    </row>
    <row r="341" spans="1:18" x14ac:dyDescent="0.25">
      <c r="A341" s="1">
        <v>45569</v>
      </c>
      <c r="B341" s="2" t="s">
        <v>27</v>
      </c>
      <c r="C341" s="2" t="s">
        <v>28</v>
      </c>
      <c r="D341" s="2" t="s">
        <v>29</v>
      </c>
      <c r="E341" s="2" t="s">
        <v>40</v>
      </c>
      <c r="F341">
        <v>275383</v>
      </c>
      <c r="G341">
        <v>21966</v>
      </c>
      <c r="H341">
        <v>4741</v>
      </c>
      <c r="I341">
        <v>2231</v>
      </c>
      <c r="J341">
        <v>912</v>
      </c>
      <c r="K341">
        <v>239728.52</v>
      </c>
      <c r="L341">
        <v>3926372.14</v>
      </c>
      <c r="M341" s="2" t="s">
        <v>22</v>
      </c>
      <c r="N341">
        <v>7.9765272366122826</v>
      </c>
      <c r="O341">
        <v>10.913617408722571</v>
      </c>
      <c r="P341">
        <v>21.583356095784396</v>
      </c>
      <c r="Q341">
        <v>262.86021929824562</v>
      </c>
      <c r="R341">
        <v>16.378410628822973</v>
      </c>
    </row>
    <row r="342" spans="1:18" x14ac:dyDescent="0.25">
      <c r="A342" s="1">
        <v>45570</v>
      </c>
      <c r="B342" s="2" t="s">
        <v>27</v>
      </c>
      <c r="C342" s="2" t="s">
        <v>28</v>
      </c>
      <c r="D342" s="2" t="s">
        <v>29</v>
      </c>
      <c r="E342" s="2" t="s">
        <v>40</v>
      </c>
      <c r="F342">
        <v>287478</v>
      </c>
      <c r="G342">
        <v>15296</v>
      </c>
      <c r="H342">
        <v>2824</v>
      </c>
      <c r="I342">
        <v>1485</v>
      </c>
      <c r="J342">
        <v>658</v>
      </c>
      <c r="K342">
        <v>273924.01</v>
      </c>
      <c r="L342">
        <v>2298553.7799999998</v>
      </c>
      <c r="M342" s="2" t="s">
        <v>20</v>
      </c>
      <c r="N342">
        <v>5.3207549795114755</v>
      </c>
      <c r="O342">
        <v>17.908211950836822</v>
      </c>
      <c r="P342">
        <v>18.46234309623431</v>
      </c>
      <c r="Q342">
        <v>416.29788753799392</v>
      </c>
      <c r="R342">
        <v>8.3912095913023457</v>
      </c>
    </row>
    <row r="343" spans="1:18" x14ac:dyDescent="0.25">
      <c r="A343" s="1">
        <v>45571</v>
      </c>
      <c r="B343" s="2" t="s">
        <v>27</v>
      </c>
      <c r="C343" s="2" t="s">
        <v>28</v>
      </c>
      <c r="D343" s="2" t="s">
        <v>29</v>
      </c>
      <c r="E343" s="2" t="s">
        <v>40</v>
      </c>
      <c r="F343">
        <v>177706</v>
      </c>
      <c r="G343">
        <v>6076</v>
      </c>
      <c r="H343">
        <v>1461</v>
      </c>
      <c r="I343">
        <v>913</v>
      </c>
      <c r="J343">
        <v>494</v>
      </c>
      <c r="K343">
        <v>142058.98000000001</v>
      </c>
      <c r="L343">
        <v>1710667.68</v>
      </c>
      <c r="M343" s="2" t="s">
        <v>22</v>
      </c>
      <c r="N343">
        <v>3.4191304739288491</v>
      </c>
      <c r="O343">
        <v>23.380345622119819</v>
      </c>
      <c r="P343">
        <v>24.045424621461489</v>
      </c>
      <c r="Q343">
        <v>287.56878542510123</v>
      </c>
      <c r="R343">
        <v>12.041953841988727</v>
      </c>
    </row>
    <row r="344" spans="1:18" x14ac:dyDescent="0.25">
      <c r="A344" s="1">
        <v>45572</v>
      </c>
      <c r="B344" s="2" t="s">
        <v>27</v>
      </c>
      <c r="C344" s="2" t="s">
        <v>28</v>
      </c>
      <c r="D344" s="2" t="s">
        <v>29</v>
      </c>
      <c r="E344" s="2" t="s">
        <v>40</v>
      </c>
      <c r="F344">
        <v>295188</v>
      </c>
      <c r="G344">
        <v>8972</v>
      </c>
      <c r="H344">
        <v>1635</v>
      </c>
      <c r="I344">
        <v>877</v>
      </c>
      <c r="J344">
        <v>449</v>
      </c>
      <c r="K344">
        <v>209783.61</v>
      </c>
      <c r="L344">
        <v>3330514.34</v>
      </c>
      <c r="M344" s="2" t="s">
        <v>21</v>
      </c>
      <c r="N344">
        <v>3.039418946569644</v>
      </c>
      <c r="O344">
        <v>23.382034106107891</v>
      </c>
      <c r="P344">
        <v>18.223361569326794</v>
      </c>
      <c r="Q344">
        <v>467.22407572383071</v>
      </c>
      <c r="R344">
        <v>15.875951128879898</v>
      </c>
    </row>
    <row r="345" spans="1:18" x14ac:dyDescent="0.25">
      <c r="A345" s="1">
        <v>45573</v>
      </c>
      <c r="B345" s="2" t="s">
        <v>27</v>
      </c>
      <c r="C345" s="2" t="s">
        <v>28</v>
      </c>
      <c r="D345" s="2" t="s">
        <v>29</v>
      </c>
      <c r="E345" s="2" t="s">
        <v>40</v>
      </c>
      <c r="F345">
        <v>142451</v>
      </c>
      <c r="G345">
        <v>6326</v>
      </c>
      <c r="H345">
        <v>1430</v>
      </c>
      <c r="I345">
        <v>782</v>
      </c>
      <c r="J345">
        <v>396</v>
      </c>
      <c r="K345">
        <v>65523.4</v>
      </c>
      <c r="L345">
        <v>2443483.4700000002</v>
      </c>
      <c r="M345" s="2" t="s">
        <v>20</v>
      </c>
      <c r="N345">
        <v>4.4408252662318972</v>
      </c>
      <c r="O345">
        <v>10.357793234271261</v>
      </c>
      <c r="P345">
        <v>22.605121719886185</v>
      </c>
      <c r="Q345">
        <v>165.46313131313133</v>
      </c>
      <c r="R345">
        <v>37.291768589542059</v>
      </c>
    </row>
    <row r="346" spans="1:18" x14ac:dyDescent="0.25">
      <c r="A346" s="1">
        <v>45574</v>
      </c>
      <c r="B346" s="2" t="s">
        <v>27</v>
      </c>
      <c r="C346" s="2" t="s">
        <v>28</v>
      </c>
      <c r="D346" s="2" t="s">
        <v>29</v>
      </c>
      <c r="E346" s="2" t="s">
        <v>39</v>
      </c>
      <c r="F346">
        <v>54463</v>
      </c>
      <c r="G346">
        <v>3186</v>
      </c>
      <c r="H346">
        <v>540</v>
      </c>
      <c r="I346">
        <v>317</v>
      </c>
      <c r="J346">
        <v>161</v>
      </c>
      <c r="K346">
        <v>38378.959999999999</v>
      </c>
      <c r="L346">
        <v>865326.9</v>
      </c>
      <c r="M346" s="2" t="s">
        <v>21</v>
      </c>
      <c r="N346">
        <v>5.8498430126875123</v>
      </c>
      <c r="O346">
        <v>12.046126804770873</v>
      </c>
      <c r="P346">
        <v>16.949152542372879</v>
      </c>
      <c r="Q346">
        <v>238.37863354037268</v>
      </c>
      <c r="R346">
        <v>22.546908514456881</v>
      </c>
    </row>
    <row r="347" spans="1:18" x14ac:dyDescent="0.25">
      <c r="A347" s="1">
        <v>45575</v>
      </c>
      <c r="B347" s="2" t="s">
        <v>27</v>
      </c>
      <c r="C347" s="2" t="s">
        <v>28</v>
      </c>
      <c r="D347" s="2" t="s">
        <v>29</v>
      </c>
      <c r="E347" s="2" t="s">
        <v>40</v>
      </c>
      <c r="F347">
        <v>139686</v>
      </c>
      <c r="G347">
        <v>5412</v>
      </c>
      <c r="H347">
        <v>1042</v>
      </c>
      <c r="I347">
        <v>509</v>
      </c>
      <c r="J347">
        <v>290</v>
      </c>
      <c r="K347">
        <v>75836.12</v>
      </c>
      <c r="L347">
        <v>1654751.42</v>
      </c>
      <c r="M347" s="2" t="s">
        <v>21</v>
      </c>
      <c r="N347">
        <v>3.8744040204458567</v>
      </c>
      <c r="O347">
        <v>14.012586844050258</v>
      </c>
      <c r="P347">
        <v>19.253510716925351</v>
      </c>
      <c r="Q347">
        <v>261.50386206896547</v>
      </c>
      <c r="R347">
        <v>21.820096017570521</v>
      </c>
    </row>
    <row r="348" spans="1:18" x14ac:dyDescent="0.25">
      <c r="A348" s="1">
        <v>45576</v>
      </c>
      <c r="B348" s="2" t="s">
        <v>27</v>
      </c>
      <c r="C348" s="2" t="s">
        <v>28</v>
      </c>
      <c r="D348" s="2" t="s">
        <v>29</v>
      </c>
      <c r="E348" s="2" t="s">
        <v>40</v>
      </c>
      <c r="F348">
        <v>120409</v>
      </c>
      <c r="G348">
        <v>4489</v>
      </c>
      <c r="H348">
        <v>780</v>
      </c>
      <c r="I348">
        <v>484</v>
      </c>
      <c r="J348">
        <v>246</v>
      </c>
      <c r="K348">
        <v>110563.17</v>
      </c>
      <c r="L348">
        <v>1888857.04</v>
      </c>
      <c r="M348" s="2" t="s">
        <v>21</v>
      </c>
      <c r="N348">
        <v>3.7281266350521971</v>
      </c>
      <c r="O348">
        <v>24.62979950991312</v>
      </c>
      <c r="P348">
        <v>17.375807529516596</v>
      </c>
      <c r="Q348">
        <v>449.44378048780487</v>
      </c>
      <c r="R348">
        <v>17.083962408096657</v>
      </c>
    </row>
    <row r="349" spans="1:18" x14ac:dyDescent="0.25">
      <c r="A349" s="1">
        <v>45577</v>
      </c>
      <c r="B349" s="2" t="s">
        <v>27</v>
      </c>
      <c r="C349" s="2" t="s">
        <v>28</v>
      </c>
      <c r="D349" s="2" t="s">
        <v>29</v>
      </c>
      <c r="E349" s="2" t="s">
        <v>38</v>
      </c>
      <c r="F349">
        <v>216016</v>
      </c>
      <c r="G349">
        <v>10639</v>
      </c>
      <c r="H349">
        <v>1987</v>
      </c>
      <c r="I349">
        <v>1050</v>
      </c>
      <c r="J349">
        <v>475</v>
      </c>
      <c r="K349">
        <v>139364</v>
      </c>
      <c r="L349">
        <v>1826451.72</v>
      </c>
      <c r="M349" s="2" t="s">
        <v>23</v>
      </c>
      <c r="N349">
        <v>4.9250981408784531</v>
      </c>
      <c r="O349">
        <v>13.099351442804775</v>
      </c>
      <c r="P349">
        <v>18.676567346555128</v>
      </c>
      <c r="Q349">
        <v>293.39789473684209</v>
      </c>
      <c r="R349">
        <v>13.10562067678884</v>
      </c>
    </row>
    <row r="350" spans="1:18" x14ac:dyDescent="0.25">
      <c r="A350" s="1">
        <v>45578</v>
      </c>
      <c r="B350" s="2" t="s">
        <v>27</v>
      </c>
      <c r="C350" s="2" t="s">
        <v>28</v>
      </c>
      <c r="D350" s="2" t="s">
        <v>29</v>
      </c>
      <c r="E350" s="2" t="s">
        <v>38</v>
      </c>
      <c r="F350">
        <v>58912</v>
      </c>
      <c r="G350">
        <v>4326</v>
      </c>
      <c r="H350">
        <v>782</v>
      </c>
      <c r="I350">
        <v>498</v>
      </c>
      <c r="J350">
        <v>295</v>
      </c>
      <c r="K350">
        <v>48216.62</v>
      </c>
      <c r="L350">
        <v>1214180.74</v>
      </c>
      <c r="M350" s="2" t="s">
        <v>23</v>
      </c>
      <c r="N350">
        <v>7.343155893536121</v>
      </c>
      <c r="O350">
        <v>11.145774387424874</v>
      </c>
      <c r="P350">
        <v>18.076745261211279</v>
      </c>
      <c r="Q350">
        <v>163.44616949152544</v>
      </c>
      <c r="R350">
        <v>25.181788769100777</v>
      </c>
    </row>
    <row r="351" spans="1:18" x14ac:dyDescent="0.25">
      <c r="A351" s="1">
        <v>45579</v>
      </c>
      <c r="B351" s="2" t="s">
        <v>27</v>
      </c>
      <c r="C351" s="2" t="s">
        <v>28</v>
      </c>
      <c r="D351" s="2" t="s">
        <v>29</v>
      </c>
      <c r="E351" s="2" t="s">
        <v>39</v>
      </c>
      <c r="F351">
        <v>202717</v>
      </c>
      <c r="G351">
        <v>6817</v>
      </c>
      <c r="H351">
        <v>1069</v>
      </c>
      <c r="I351">
        <v>693</v>
      </c>
      <c r="J351">
        <v>358</v>
      </c>
      <c r="K351">
        <v>116988.99</v>
      </c>
      <c r="L351">
        <v>1522257.6</v>
      </c>
      <c r="M351" s="2" t="s">
        <v>19</v>
      </c>
      <c r="N351">
        <v>3.3628161427014018</v>
      </c>
      <c r="O351">
        <v>17.161359835704857</v>
      </c>
      <c r="P351">
        <v>15.681384773360715</v>
      </c>
      <c r="Q351">
        <v>326.78488826815646</v>
      </c>
      <c r="R351">
        <v>13.0119731779888</v>
      </c>
    </row>
    <row r="352" spans="1:18" x14ac:dyDescent="0.25">
      <c r="A352" s="1">
        <v>45580</v>
      </c>
      <c r="B352" s="2" t="s">
        <v>27</v>
      </c>
      <c r="C352" s="2" t="s">
        <v>28</v>
      </c>
      <c r="D352" s="2" t="s">
        <v>29</v>
      </c>
      <c r="E352" s="2" t="s">
        <v>39</v>
      </c>
      <c r="F352">
        <v>251656</v>
      </c>
      <c r="G352">
        <v>18834</v>
      </c>
      <c r="H352">
        <v>3343</v>
      </c>
      <c r="I352">
        <v>1918</v>
      </c>
      <c r="J352">
        <v>1080</v>
      </c>
      <c r="K352">
        <v>241798.27</v>
      </c>
      <c r="L352">
        <v>7037867.2699999996</v>
      </c>
      <c r="M352" s="2" t="s">
        <v>23</v>
      </c>
      <c r="N352">
        <v>7.4840258130145916</v>
      </c>
      <c r="O352">
        <v>12.838391738345544</v>
      </c>
      <c r="P352">
        <v>17.749814165870234</v>
      </c>
      <c r="Q352">
        <v>223.88728703703703</v>
      </c>
      <c r="R352">
        <v>29.106359073619508</v>
      </c>
    </row>
    <row r="353" spans="1:18" x14ac:dyDescent="0.25">
      <c r="A353" s="1">
        <v>45581</v>
      </c>
      <c r="B353" s="2" t="s">
        <v>27</v>
      </c>
      <c r="C353" s="2" t="s">
        <v>28</v>
      </c>
      <c r="D353" s="2" t="s">
        <v>29</v>
      </c>
      <c r="E353" s="2" t="s">
        <v>38</v>
      </c>
      <c r="F353">
        <v>199622</v>
      </c>
      <c r="G353">
        <v>6041</v>
      </c>
      <c r="H353">
        <v>993</v>
      </c>
      <c r="I353">
        <v>525</v>
      </c>
      <c r="J353">
        <v>228</v>
      </c>
      <c r="K353">
        <v>176721.83</v>
      </c>
      <c r="L353">
        <v>988512.45</v>
      </c>
      <c r="M353" s="2" t="s">
        <v>23</v>
      </c>
      <c r="N353">
        <v>3.0262195549588724</v>
      </c>
      <c r="O353">
        <v>29.253737791756329</v>
      </c>
      <c r="P353">
        <v>16.437675881476576</v>
      </c>
      <c r="Q353">
        <v>775.09574561403508</v>
      </c>
      <c r="R353">
        <v>5.5936069131923318</v>
      </c>
    </row>
    <row r="354" spans="1:18" x14ac:dyDescent="0.25">
      <c r="A354" s="1">
        <v>45582</v>
      </c>
      <c r="B354" s="2" t="s">
        <v>27</v>
      </c>
      <c r="C354" s="2" t="s">
        <v>28</v>
      </c>
      <c r="D354" s="2" t="s">
        <v>29</v>
      </c>
      <c r="E354" s="2" t="s">
        <v>40</v>
      </c>
      <c r="F354">
        <v>69381</v>
      </c>
      <c r="G354">
        <v>3391</v>
      </c>
      <c r="H354">
        <v>607</v>
      </c>
      <c r="I354">
        <v>363</v>
      </c>
      <c r="J354">
        <v>166</v>
      </c>
      <c r="K354">
        <v>49757.02</v>
      </c>
      <c r="L354">
        <v>578094.77</v>
      </c>
      <c r="M354" s="2" t="s">
        <v>22</v>
      </c>
      <c r="N354">
        <v>4.8875052247733528</v>
      </c>
      <c r="O354">
        <v>14.673258625774107</v>
      </c>
      <c r="P354">
        <v>17.900324388086112</v>
      </c>
      <c r="Q354">
        <v>299.74108433734938</v>
      </c>
      <c r="R354">
        <v>11.618355962636027</v>
      </c>
    </row>
    <row r="355" spans="1:18" x14ac:dyDescent="0.25">
      <c r="A355" s="1">
        <v>45583</v>
      </c>
      <c r="B355" s="2" t="s">
        <v>27</v>
      </c>
      <c r="C355" s="2" t="s">
        <v>28</v>
      </c>
      <c r="D355" s="2" t="s">
        <v>29</v>
      </c>
      <c r="E355" s="2" t="s">
        <v>38</v>
      </c>
      <c r="F355">
        <v>287101</v>
      </c>
      <c r="G355">
        <v>12759</v>
      </c>
      <c r="H355">
        <v>2552</v>
      </c>
      <c r="I355">
        <v>1493</v>
      </c>
      <c r="J355">
        <v>878</v>
      </c>
      <c r="K355">
        <v>208157.08</v>
      </c>
      <c r="L355">
        <v>4202662.82</v>
      </c>
      <c r="M355" s="2" t="s">
        <v>20</v>
      </c>
      <c r="N355">
        <v>4.4440806545431748</v>
      </c>
      <c r="O355">
        <v>16.314529351830078</v>
      </c>
      <c r="P355">
        <v>20.001567520965594</v>
      </c>
      <c r="Q355">
        <v>237.08095671981775</v>
      </c>
      <c r="R355">
        <v>20.189862482698164</v>
      </c>
    </row>
    <row r="356" spans="1:18" x14ac:dyDescent="0.25">
      <c r="A356" s="1">
        <v>45584</v>
      </c>
      <c r="B356" s="2" t="s">
        <v>27</v>
      </c>
      <c r="C356" s="2" t="s">
        <v>28</v>
      </c>
      <c r="D356" s="2" t="s">
        <v>29</v>
      </c>
      <c r="E356" s="2" t="s">
        <v>38</v>
      </c>
      <c r="F356">
        <v>184878</v>
      </c>
      <c r="G356">
        <v>12850</v>
      </c>
      <c r="H356">
        <v>2357</v>
      </c>
      <c r="I356">
        <v>1514</v>
      </c>
      <c r="J356">
        <v>788</v>
      </c>
      <c r="K356">
        <v>119293.73</v>
      </c>
      <c r="L356">
        <v>4620820.8099999996</v>
      </c>
      <c r="M356" s="2" t="s">
        <v>21</v>
      </c>
      <c r="N356">
        <v>6.9505295383982952</v>
      </c>
      <c r="O356">
        <v>9.2835587548638134</v>
      </c>
      <c r="P356">
        <v>18.342412451361866</v>
      </c>
      <c r="Q356">
        <v>151.38798223350253</v>
      </c>
      <c r="R356">
        <v>38.734817077142274</v>
      </c>
    </row>
    <row r="357" spans="1:18" x14ac:dyDescent="0.25">
      <c r="A357" s="1">
        <v>45585</v>
      </c>
      <c r="B357" s="2" t="s">
        <v>27</v>
      </c>
      <c r="C357" s="2" t="s">
        <v>28</v>
      </c>
      <c r="D357" s="2" t="s">
        <v>29</v>
      </c>
      <c r="E357" s="2" t="s">
        <v>39</v>
      </c>
      <c r="F357">
        <v>92994</v>
      </c>
      <c r="G357">
        <v>4254</v>
      </c>
      <c r="H357">
        <v>1025</v>
      </c>
      <c r="I357">
        <v>663</v>
      </c>
      <c r="J357">
        <v>325</v>
      </c>
      <c r="K357">
        <v>63509.98</v>
      </c>
      <c r="L357">
        <v>1979290.65</v>
      </c>
      <c r="M357" s="2" t="s">
        <v>19</v>
      </c>
      <c r="N357">
        <v>4.5744886766888184</v>
      </c>
      <c r="O357">
        <v>14.929473436765399</v>
      </c>
      <c r="P357">
        <v>24.094969440526562</v>
      </c>
      <c r="Q357">
        <v>195.41532307692307</v>
      </c>
      <c r="R357">
        <v>31.165033432540834</v>
      </c>
    </row>
    <row r="358" spans="1:18" x14ac:dyDescent="0.25">
      <c r="A358" s="1">
        <v>45586</v>
      </c>
      <c r="B358" s="2" t="s">
        <v>27</v>
      </c>
      <c r="C358" s="2" t="s">
        <v>28</v>
      </c>
      <c r="D358" s="2" t="s">
        <v>29</v>
      </c>
      <c r="E358" s="2" t="s">
        <v>40</v>
      </c>
      <c r="F358">
        <v>122794</v>
      </c>
      <c r="G358">
        <v>7849</v>
      </c>
      <c r="H358">
        <v>1907</v>
      </c>
      <c r="I358">
        <v>1022</v>
      </c>
      <c r="J358">
        <v>609</v>
      </c>
      <c r="K358">
        <v>115044.95</v>
      </c>
      <c r="L358">
        <v>2146534.46</v>
      </c>
      <c r="M358" s="2" t="s">
        <v>21</v>
      </c>
      <c r="N358">
        <v>6.3920061240777235</v>
      </c>
      <c r="O358">
        <v>14.657274812077972</v>
      </c>
      <c r="P358">
        <v>24.296088673716397</v>
      </c>
      <c r="Q358">
        <v>188.90796387520524</v>
      </c>
      <c r="R358">
        <v>18.658224111532057</v>
      </c>
    </row>
    <row r="359" spans="1:18" x14ac:dyDescent="0.25">
      <c r="A359" s="1">
        <v>45587</v>
      </c>
      <c r="B359" s="2" t="s">
        <v>27</v>
      </c>
      <c r="C359" s="2" t="s">
        <v>28</v>
      </c>
      <c r="D359" s="2" t="s">
        <v>29</v>
      </c>
      <c r="E359" s="2" t="s">
        <v>38</v>
      </c>
      <c r="F359">
        <v>91570</v>
      </c>
      <c r="G359">
        <v>6739</v>
      </c>
      <c r="H359">
        <v>1285</v>
      </c>
      <c r="I359">
        <v>721</v>
      </c>
      <c r="J359">
        <v>353</v>
      </c>
      <c r="K359">
        <v>79415.47</v>
      </c>
      <c r="L359">
        <v>2003387.48</v>
      </c>
      <c r="M359" s="2" t="s">
        <v>19</v>
      </c>
      <c r="N359">
        <v>7.3593971824833462</v>
      </c>
      <c r="O359">
        <v>11.784459118563586</v>
      </c>
      <c r="P359">
        <v>19.068110995696692</v>
      </c>
      <c r="Q359">
        <v>224.9730028328612</v>
      </c>
      <c r="R359">
        <v>25.226665283225042</v>
      </c>
    </row>
    <row r="360" spans="1:18" x14ac:dyDescent="0.25">
      <c r="A360" s="1">
        <v>45588</v>
      </c>
      <c r="B360" s="2" t="s">
        <v>27</v>
      </c>
      <c r="C360" s="2" t="s">
        <v>28</v>
      </c>
      <c r="D360" s="2" t="s">
        <v>29</v>
      </c>
      <c r="E360" s="2" t="s">
        <v>40</v>
      </c>
      <c r="F360">
        <v>136044</v>
      </c>
      <c r="G360">
        <v>5700</v>
      </c>
      <c r="H360">
        <v>1277</v>
      </c>
      <c r="I360">
        <v>576</v>
      </c>
      <c r="J360">
        <v>315</v>
      </c>
      <c r="K360">
        <v>81289.850000000006</v>
      </c>
      <c r="L360">
        <v>1260959.52</v>
      </c>
      <c r="M360" s="2" t="s">
        <v>19</v>
      </c>
      <c r="N360">
        <v>4.1898209402840259</v>
      </c>
      <c r="O360">
        <v>14.261377192982458</v>
      </c>
      <c r="P360">
        <v>22.403508771929825</v>
      </c>
      <c r="Q360">
        <v>258.0630158730159</v>
      </c>
      <c r="R360">
        <v>15.511893797319098</v>
      </c>
    </row>
    <row r="361" spans="1:18" x14ac:dyDescent="0.25">
      <c r="A361" s="1">
        <v>45589</v>
      </c>
      <c r="B361" s="2" t="s">
        <v>27</v>
      </c>
      <c r="C361" s="2" t="s">
        <v>28</v>
      </c>
      <c r="D361" s="2" t="s">
        <v>29</v>
      </c>
      <c r="E361" s="2" t="s">
        <v>39</v>
      </c>
      <c r="F361">
        <v>167984</v>
      </c>
      <c r="G361">
        <v>5400</v>
      </c>
      <c r="H361">
        <v>1206</v>
      </c>
      <c r="I361">
        <v>563</v>
      </c>
      <c r="J361">
        <v>278</v>
      </c>
      <c r="K361">
        <v>99048.93</v>
      </c>
      <c r="L361">
        <v>1366324.42</v>
      </c>
      <c r="M361" s="2" t="s">
        <v>21</v>
      </c>
      <c r="N361">
        <v>3.2145918658919901</v>
      </c>
      <c r="O361">
        <v>18.342394444444444</v>
      </c>
      <c r="P361">
        <v>22.333333333333332</v>
      </c>
      <c r="Q361">
        <v>356.29111510791364</v>
      </c>
      <c r="R361">
        <v>13.794438970718815</v>
      </c>
    </row>
    <row r="362" spans="1:18" x14ac:dyDescent="0.25">
      <c r="A362" s="1">
        <v>45590</v>
      </c>
      <c r="B362" s="2" t="s">
        <v>27</v>
      </c>
      <c r="C362" s="2" t="s">
        <v>28</v>
      </c>
      <c r="D362" s="2" t="s">
        <v>29</v>
      </c>
      <c r="E362" s="2" t="s">
        <v>39</v>
      </c>
      <c r="F362">
        <v>95036</v>
      </c>
      <c r="G362">
        <v>5272</v>
      </c>
      <c r="H362">
        <v>948</v>
      </c>
      <c r="I362">
        <v>435</v>
      </c>
      <c r="J362">
        <v>238</v>
      </c>
      <c r="K362">
        <v>52509.599999999999</v>
      </c>
      <c r="L362">
        <v>1552232.36</v>
      </c>
      <c r="M362" s="2" t="s">
        <v>20</v>
      </c>
      <c r="N362">
        <v>5.5473715223704705</v>
      </c>
      <c r="O362">
        <v>9.9600910470409705</v>
      </c>
      <c r="P362">
        <v>17.981790591805765</v>
      </c>
      <c r="Q362">
        <v>220.62857142857143</v>
      </c>
      <c r="R362">
        <v>29.560925240337006</v>
      </c>
    </row>
    <row r="363" spans="1:18" x14ac:dyDescent="0.25">
      <c r="A363" s="1">
        <v>45591</v>
      </c>
      <c r="B363" s="2" t="s">
        <v>27</v>
      </c>
      <c r="C363" s="2" t="s">
        <v>28</v>
      </c>
      <c r="D363" s="2" t="s">
        <v>29</v>
      </c>
      <c r="E363" s="2" t="s">
        <v>40</v>
      </c>
      <c r="F363">
        <v>59294</v>
      </c>
      <c r="G363">
        <v>3218</v>
      </c>
      <c r="H363">
        <v>771</v>
      </c>
      <c r="I363">
        <v>376</v>
      </c>
      <c r="J363">
        <v>216</v>
      </c>
      <c r="K363">
        <v>51407.62</v>
      </c>
      <c r="L363">
        <v>827192.52</v>
      </c>
      <c r="M363" s="2" t="s">
        <v>19</v>
      </c>
      <c r="N363">
        <v>5.42719330792323</v>
      </c>
      <c r="O363">
        <v>15.975021752641393</v>
      </c>
      <c r="P363">
        <v>23.958980733374766</v>
      </c>
      <c r="Q363">
        <v>237.99824074074075</v>
      </c>
      <c r="R363">
        <v>16.090854235228161</v>
      </c>
    </row>
    <row r="364" spans="1:18" x14ac:dyDescent="0.25">
      <c r="A364" s="1">
        <v>45592</v>
      </c>
      <c r="B364" s="2" t="s">
        <v>27</v>
      </c>
      <c r="C364" s="2" t="s">
        <v>28</v>
      </c>
      <c r="D364" s="2" t="s">
        <v>29</v>
      </c>
      <c r="E364" s="2" t="s">
        <v>39</v>
      </c>
      <c r="F364">
        <v>130677</v>
      </c>
      <c r="G364">
        <v>9462</v>
      </c>
      <c r="H364">
        <v>1831</v>
      </c>
      <c r="I364">
        <v>969</v>
      </c>
      <c r="J364">
        <v>562</v>
      </c>
      <c r="K364">
        <v>89431.65</v>
      </c>
      <c r="L364">
        <v>2487761.4</v>
      </c>
      <c r="M364" s="2" t="s">
        <v>20</v>
      </c>
      <c r="N364">
        <v>7.240753919970615</v>
      </c>
      <c r="O364">
        <v>9.4516645529486354</v>
      </c>
      <c r="P364">
        <v>19.351088564785456</v>
      </c>
      <c r="Q364">
        <v>159.13104982206406</v>
      </c>
      <c r="R364">
        <v>27.817460597003411</v>
      </c>
    </row>
    <row r="365" spans="1:18" x14ac:dyDescent="0.25">
      <c r="A365" s="1">
        <v>45593</v>
      </c>
      <c r="B365" s="2" t="s">
        <v>27</v>
      </c>
      <c r="C365" s="2" t="s">
        <v>28</v>
      </c>
      <c r="D365" s="2" t="s">
        <v>29</v>
      </c>
      <c r="E365" s="2" t="s">
        <v>39</v>
      </c>
      <c r="F365">
        <v>97058</v>
      </c>
      <c r="G365">
        <v>3274</v>
      </c>
      <c r="H365">
        <v>651</v>
      </c>
      <c r="I365">
        <v>375</v>
      </c>
      <c r="J365">
        <v>190</v>
      </c>
      <c r="K365">
        <v>45063.28</v>
      </c>
      <c r="L365">
        <v>895881.61</v>
      </c>
      <c r="M365" s="2" t="s">
        <v>22</v>
      </c>
      <c r="N365">
        <v>3.3732407426487256</v>
      </c>
      <c r="O365">
        <v>13.763982895540623</v>
      </c>
      <c r="P365">
        <v>19.883934025656689</v>
      </c>
      <c r="Q365">
        <v>237.17515789473683</v>
      </c>
      <c r="R365">
        <v>19.880523787882286</v>
      </c>
    </row>
    <row r="366" spans="1:18" x14ac:dyDescent="0.25">
      <c r="A366" s="1">
        <v>45594</v>
      </c>
      <c r="B366" s="2" t="s">
        <v>27</v>
      </c>
      <c r="C366" s="2" t="s">
        <v>28</v>
      </c>
      <c r="D366" s="2" t="s">
        <v>29</v>
      </c>
      <c r="E366" s="2" t="s">
        <v>38</v>
      </c>
      <c r="F366">
        <v>179478</v>
      </c>
      <c r="G366">
        <v>6773</v>
      </c>
      <c r="H366">
        <v>1044</v>
      </c>
      <c r="I366">
        <v>667</v>
      </c>
      <c r="J366">
        <v>270</v>
      </c>
      <c r="K366">
        <v>91661.15</v>
      </c>
      <c r="L366">
        <v>2080724.29</v>
      </c>
      <c r="M366" s="2" t="s">
        <v>20</v>
      </c>
      <c r="N366">
        <v>3.7737215703317393</v>
      </c>
      <c r="O366">
        <v>13.533316108076184</v>
      </c>
      <c r="P366">
        <v>15.414144396869926</v>
      </c>
      <c r="Q366">
        <v>339.48574074074071</v>
      </c>
      <c r="R366">
        <v>22.700176574262926</v>
      </c>
    </row>
    <row r="367" spans="1:18" x14ac:dyDescent="0.25">
      <c r="A367" s="1">
        <v>45595</v>
      </c>
      <c r="B367" s="2" t="s">
        <v>27</v>
      </c>
      <c r="C367" s="2" t="s">
        <v>28</v>
      </c>
      <c r="D367" s="2" t="s">
        <v>29</v>
      </c>
      <c r="E367" s="2" t="s">
        <v>40</v>
      </c>
      <c r="F367">
        <v>281673</v>
      </c>
      <c r="G367">
        <v>15379</v>
      </c>
      <c r="H367">
        <v>3271</v>
      </c>
      <c r="I367">
        <v>1753</v>
      </c>
      <c r="J367">
        <v>1035</v>
      </c>
      <c r="K367">
        <v>204309.98</v>
      </c>
      <c r="L367">
        <v>3459761.8</v>
      </c>
      <c r="M367" s="2" t="s">
        <v>23</v>
      </c>
      <c r="N367">
        <v>5.4598772335296601</v>
      </c>
      <c r="O367">
        <v>13.284997724169322</v>
      </c>
      <c r="P367">
        <v>21.269263281097601</v>
      </c>
      <c r="Q367">
        <v>197.4009468599034</v>
      </c>
      <c r="R367">
        <v>16.933885461689144</v>
      </c>
    </row>
    <row r="368" spans="1:18" x14ac:dyDescent="0.25">
      <c r="A368" s="1">
        <v>45596</v>
      </c>
      <c r="B368" s="2" t="s">
        <v>27</v>
      </c>
      <c r="C368" s="2" t="s">
        <v>28</v>
      </c>
      <c r="D368" s="2" t="s">
        <v>29</v>
      </c>
      <c r="E368" s="2" t="s">
        <v>40</v>
      </c>
      <c r="F368">
        <v>116450</v>
      </c>
      <c r="G368">
        <v>6235</v>
      </c>
      <c r="H368">
        <v>1558</v>
      </c>
      <c r="I368">
        <v>824</v>
      </c>
      <c r="J368">
        <v>360</v>
      </c>
      <c r="K368">
        <v>65629.02</v>
      </c>
      <c r="L368">
        <v>1949668.5</v>
      </c>
      <c r="M368" s="2" t="s">
        <v>23</v>
      </c>
      <c r="N368">
        <v>5.3542292829540576</v>
      </c>
      <c r="O368">
        <v>10.525905372894949</v>
      </c>
      <c r="P368">
        <v>24.987971130713714</v>
      </c>
      <c r="Q368">
        <v>182.30283333333335</v>
      </c>
      <c r="R368">
        <v>29.707414494380686</v>
      </c>
    </row>
    <row r="369" spans="1:18" x14ac:dyDescent="0.25">
      <c r="A369" s="1">
        <v>45597</v>
      </c>
      <c r="B369" s="2" t="s">
        <v>27</v>
      </c>
      <c r="C369" s="2" t="s">
        <v>28</v>
      </c>
      <c r="D369" s="2" t="s">
        <v>29</v>
      </c>
      <c r="E369" s="2" t="s">
        <v>38</v>
      </c>
      <c r="F369">
        <v>225961</v>
      </c>
      <c r="G369">
        <v>14171</v>
      </c>
      <c r="H369">
        <v>3221</v>
      </c>
      <c r="I369">
        <v>1819</v>
      </c>
      <c r="J369">
        <v>993</v>
      </c>
      <c r="K369">
        <v>168277.96</v>
      </c>
      <c r="L369">
        <v>3222207.73</v>
      </c>
      <c r="M369" s="2" t="s">
        <v>20</v>
      </c>
      <c r="N369">
        <v>6.2714362212948256</v>
      </c>
      <c r="O369">
        <v>11.874811939877214</v>
      </c>
      <c r="P369">
        <v>22.729518029779129</v>
      </c>
      <c r="Q369">
        <v>169.46420946626384</v>
      </c>
      <c r="R369">
        <v>19.148126884827938</v>
      </c>
    </row>
    <row r="370" spans="1:18" x14ac:dyDescent="0.25">
      <c r="A370" s="1">
        <v>45598</v>
      </c>
      <c r="B370" s="2" t="s">
        <v>27</v>
      </c>
      <c r="C370" s="2" t="s">
        <v>28</v>
      </c>
      <c r="D370" s="2" t="s">
        <v>29</v>
      </c>
      <c r="E370" s="2" t="s">
        <v>40</v>
      </c>
      <c r="F370">
        <v>106756</v>
      </c>
      <c r="G370">
        <v>7681</v>
      </c>
      <c r="H370">
        <v>1748</v>
      </c>
      <c r="I370">
        <v>926</v>
      </c>
      <c r="J370">
        <v>405</v>
      </c>
      <c r="K370">
        <v>72448.350000000006</v>
      </c>
      <c r="L370">
        <v>1950812.15</v>
      </c>
      <c r="M370" s="2" t="s">
        <v>22</v>
      </c>
      <c r="N370">
        <v>7.1949117613998279</v>
      </c>
      <c r="O370">
        <v>9.4321507616195817</v>
      </c>
      <c r="P370">
        <v>22.757453456581175</v>
      </c>
      <c r="Q370">
        <v>178.88481481481483</v>
      </c>
      <c r="R370">
        <v>26.926936914367268</v>
      </c>
    </row>
    <row r="371" spans="1:18" x14ac:dyDescent="0.25">
      <c r="A371" s="1">
        <v>45599</v>
      </c>
      <c r="B371" s="2" t="s">
        <v>27</v>
      </c>
      <c r="C371" s="2" t="s">
        <v>28</v>
      </c>
      <c r="D371" s="2" t="s">
        <v>29</v>
      </c>
      <c r="E371" s="2" t="s">
        <v>38</v>
      </c>
      <c r="F371">
        <v>232832</v>
      </c>
      <c r="G371">
        <v>9147</v>
      </c>
      <c r="H371">
        <v>1633</v>
      </c>
      <c r="I371">
        <v>749</v>
      </c>
      <c r="J371">
        <v>397</v>
      </c>
      <c r="K371">
        <v>193724.4</v>
      </c>
      <c r="L371">
        <v>3007990.84</v>
      </c>
      <c r="M371" s="2" t="s">
        <v>23</v>
      </c>
      <c r="N371">
        <v>3.9285836998350741</v>
      </c>
      <c r="O371">
        <v>21.179009511315186</v>
      </c>
      <c r="P371">
        <v>17.852847928282497</v>
      </c>
      <c r="Q371">
        <v>487.97078085642318</v>
      </c>
      <c r="R371">
        <v>15.527165602267964</v>
      </c>
    </row>
    <row r="372" spans="1:18" x14ac:dyDescent="0.25">
      <c r="A372" s="1">
        <v>45600</v>
      </c>
      <c r="B372" s="2" t="s">
        <v>27</v>
      </c>
      <c r="C372" s="2" t="s">
        <v>28</v>
      </c>
      <c r="D372" s="2" t="s">
        <v>29</v>
      </c>
      <c r="E372" s="2" t="s">
        <v>39</v>
      </c>
      <c r="F372">
        <v>283483</v>
      </c>
      <c r="G372">
        <v>9399</v>
      </c>
      <c r="H372">
        <v>2257</v>
      </c>
      <c r="I372">
        <v>1289</v>
      </c>
      <c r="J372">
        <v>646</v>
      </c>
      <c r="K372">
        <v>152209.39000000001</v>
      </c>
      <c r="L372">
        <v>2606457.79</v>
      </c>
      <c r="M372" s="2" t="s">
        <v>22</v>
      </c>
      <c r="N372">
        <v>3.3155427309574117</v>
      </c>
      <c r="O372">
        <v>16.194211086285776</v>
      </c>
      <c r="P372">
        <v>24.013192892860943</v>
      </c>
      <c r="Q372">
        <v>235.61825077399382</v>
      </c>
      <c r="R372">
        <v>17.124158962860307</v>
      </c>
    </row>
    <row r="373" spans="1:18" x14ac:dyDescent="0.25">
      <c r="A373" s="1">
        <v>45601</v>
      </c>
      <c r="B373" s="2" t="s">
        <v>27</v>
      </c>
      <c r="C373" s="2" t="s">
        <v>28</v>
      </c>
      <c r="D373" s="2" t="s">
        <v>29</v>
      </c>
      <c r="E373" s="2" t="s">
        <v>40</v>
      </c>
      <c r="F373">
        <v>239123</v>
      </c>
      <c r="G373">
        <v>8684</v>
      </c>
      <c r="H373">
        <v>1946</v>
      </c>
      <c r="I373">
        <v>1221</v>
      </c>
      <c r="J373">
        <v>722</v>
      </c>
      <c r="K373">
        <v>204001.7</v>
      </c>
      <c r="L373">
        <v>2714132.08</v>
      </c>
      <c r="M373" s="2" t="s">
        <v>20</v>
      </c>
      <c r="N373">
        <v>3.6316038189550981</v>
      </c>
      <c r="O373">
        <v>23.491674343620453</v>
      </c>
      <c r="P373">
        <v>22.40902809765085</v>
      </c>
      <c r="Q373">
        <v>282.55083102493074</v>
      </c>
      <c r="R373">
        <v>13.304458149123267</v>
      </c>
    </row>
    <row r="374" spans="1:18" x14ac:dyDescent="0.25">
      <c r="A374" s="1">
        <v>45602</v>
      </c>
      <c r="B374" s="2" t="s">
        <v>27</v>
      </c>
      <c r="C374" s="2" t="s">
        <v>28</v>
      </c>
      <c r="D374" s="2" t="s">
        <v>29</v>
      </c>
      <c r="E374" s="2" t="s">
        <v>40</v>
      </c>
      <c r="F374">
        <v>276380</v>
      </c>
      <c r="G374">
        <v>16064</v>
      </c>
      <c r="H374">
        <v>2534</v>
      </c>
      <c r="I374">
        <v>1232</v>
      </c>
      <c r="J374">
        <v>551</v>
      </c>
      <c r="K374">
        <v>170390.62</v>
      </c>
      <c r="L374">
        <v>3092023.95</v>
      </c>
      <c r="M374" s="2" t="s">
        <v>21</v>
      </c>
      <c r="N374">
        <v>5.8122874303495182</v>
      </c>
      <c r="O374">
        <v>10.606985806772908</v>
      </c>
      <c r="P374">
        <v>15.774402390438247</v>
      </c>
      <c r="Q374">
        <v>309.23887477313974</v>
      </c>
      <c r="R374">
        <v>18.146679377068999</v>
      </c>
    </row>
    <row r="375" spans="1:18" x14ac:dyDescent="0.25">
      <c r="A375" s="1">
        <v>45603</v>
      </c>
      <c r="B375" s="2" t="s">
        <v>27</v>
      </c>
      <c r="C375" s="2" t="s">
        <v>28</v>
      </c>
      <c r="D375" s="2" t="s">
        <v>29</v>
      </c>
      <c r="E375" s="2" t="s">
        <v>38</v>
      </c>
      <c r="F375">
        <v>270180</v>
      </c>
      <c r="G375">
        <v>14454</v>
      </c>
      <c r="H375">
        <v>3258</v>
      </c>
      <c r="I375">
        <v>1917</v>
      </c>
      <c r="J375">
        <v>990</v>
      </c>
      <c r="K375">
        <v>268873.26</v>
      </c>
      <c r="L375">
        <v>6443869.4199999999</v>
      </c>
      <c r="M375" s="2" t="s">
        <v>19</v>
      </c>
      <c r="N375">
        <v>5.3497668221185872</v>
      </c>
      <c r="O375">
        <v>18.601996679119967</v>
      </c>
      <c r="P375">
        <v>22.540473225404732</v>
      </c>
      <c r="Q375">
        <v>271.58915151515151</v>
      </c>
      <c r="R375">
        <v>23.966196638520319</v>
      </c>
    </row>
    <row r="376" spans="1:18" x14ac:dyDescent="0.25">
      <c r="A376" s="1">
        <v>45604</v>
      </c>
      <c r="B376" s="2" t="s">
        <v>27</v>
      </c>
      <c r="C376" s="2" t="s">
        <v>28</v>
      </c>
      <c r="D376" s="2" t="s">
        <v>29</v>
      </c>
      <c r="E376" s="2" t="s">
        <v>38</v>
      </c>
      <c r="F376">
        <v>286662</v>
      </c>
      <c r="G376">
        <v>11043</v>
      </c>
      <c r="H376">
        <v>1712</v>
      </c>
      <c r="I376">
        <v>779</v>
      </c>
      <c r="J376">
        <v>318</v>
      </c>
      <c r="K376">
        <v>131184.54999999999</v>
      </c>
      <c r="L376">
        <v>1392508.14</v>
      </c>
      <c r="M376" s="2" t="s">
        <v>21</v>
      </c>
      <c r="N376">
        <v>3.852272013730456</v>
      </c>
      <c r="O376">
        <v>11.879430408403513</v>
      </c>
      <c r="P376">
        <v>15.50303359594313</v>
      </c>
      <c r="Q376">
        <v>412.53003144654082</v>
      </c>
      <c r="R376">
        <v>10.614879114956754</v>
      </c>
    </row>
    <row r="377" spans="1:18" x14ac:dyDescent="0.25">
      <c r="A377" s="1">
        <v>45605</v>
      </c>
      <c r="B377" s="2" t="s">
        <v>27</v>
      </c>
      <c r="C377" s="2" t="s">
        <v>28</v>
      </c>
      <c r="D377" s="2" t="s">
        <v>29</v>
      </c>
      <c r="E377" s="2" t="s">
        <v>39</v>
      </c>
      <c r="F377">
        <v>181568</v>
      </c>
      <c r="G377">
        <v>10036</v>
      </c>
      <c r="H377">
        <v>2164</v>
      </c>
      <c r="I377">
        <v>1043</v>
      </c>
      <c r="J377">
        <v>557</v>
      </c>
      <c r="K377">
        <v>105288.6</v>
      </c>
      <c r="L377">
        <v>2943846.76</v>
      </c>
      <c r="M377" s="2" t="s">
        <v>22</v>
      </c>
      <c r="N377">
        <v>5.5274057102573142</v>
      </c>
      <c r="O377">
        <v>10.491092068553209</v>
      </c>
      <c r="P377">
        <v>21.562375448385811</v>
      </c>
      <c r="Q377">
        <v>189.02800718132855</v>
      </c>
      <c r="R377">
        <v>27.959786339641706</v>
      </c>
    </row>
    <row r="378" spans="1:18" x14ac:dyDescent="0.25">
      <c r="A378" s="1">
        <v>45606</v>
      </c>
      <c r="B378" s="2" t="s">
        <v>27</v>
      </c>
      <c r="C378" s="2" t="s">
        <v>28</v>
      </c>
      <c r="D378" s="2" t="s">
        <v>29</v>
      </c>
      <c r="E378" s="2" t="s">
        <v>38</v>
      </c>
      <c r="F378">
        <v>55161</v>
      </c>
      <c r="G378">
        <v>1674</v>
      </c>
      <c r="H378">
        <v>327</v>
      </c>
      <c r="I378">
        <v>182</v>
      </c>
      <c r="J378">
        <v>93</v>
      </c>
      <c r="K378">
        <v>27683.46</v>
      </c>
      <c r="L378">
        <v>419254.85</v>
      </c>
      <c r="M378" s="2" t="s">
        <v>20</v>
      </c>
      <c r="N378">
        <v>3.0347528144884972</v>
      </c>
      <c r="O378">
        <v>16.537311827956987</v>
      </c>
      <c r="P378">
        <v>19.534050179211469</v>
      </c>
      <c r="Q378">
        <v>297.67161290322582</v>
      </c>
      <c r="R378">
        <v>15.144597171018363</v>
      </c>
    </row>
    <row r="379" spans="1:18" x14ac:dyDescent="0.25">
      <c r="A379" s="1">
        <v>45607</v>
      </c>
      <c r="B379" s="2" t="s">
        <v>27</v>
      </c>
      <c r="C379" s="2" t="s">
        <v>28</v>
      </c>
      <c r="D379" s="2" t="s">
        <v>29</v>
      </c>
      <c r="E379" s="2" t="s">
        <v>40</v>
      </c>
      <c r="F379">
        <v>146332</v>
      </c>
      <c r="G379">
        <v>7956</v>
      </c>
      <c r="H379">
        <v>1417</v>
      </c>
      <c r="I379">
        <v>687</v>
      </c>
      <c r="J379">
        <v>389</v>
      </c>
      <c r="K379">
        <v>145598.6</v>
      </c>
      <c r="L379">
        <v>1883807.49</v>
      </c>
      <c r="M379" s="2" t="s">
        <v>21</v>
      </c>
      <c r="N379">
        <v>5.4369515895361236</v>
      </c>
      <c r="O379">
        <v>18.300477626948215</v>
      </c>
      <c r="P379">
        <v>17.81045751633987</v>
      </c>
      <c r="Q379">
        <v>374.28946015424168</v>
      </c>
      <c r="R379">
        <v>12.938362662827801</v>
      </c>
    </row>
    <row r="380" spans="1:18" x14ac:dyDescent="0.25">
      <c r="A380" s="1">
        <v>45608</v>
      </c>
      <c r="B380" s="2" t="s">
        <v>27</v>
      </c>
      <c r="C380" s="2" t="s">
        <v>28</v>
      </c>
      <c r="D380" s="2" t="s">
        <v>29</v>
      </c>
      <c r="E380" s="2" t="s">
        <v>38</v>
      </c>
      <c r="F380">
        <v>283452</v>
      </c>
      <c r="G380">
        <v>10161</v>
      </c>
      <c r="H380">
        <v>2461</v>
      </c>
      <c r="I380">
        <v>1357</v>
      </c>
      <c r="J380">
        <v>599</v>
      </c>
      <c r="K380">
        <v>241562.23999999999</v>
      </c>
      <c r="L380">
        <v>2333253.91</v>
      </c>
      <c r="M380" s="2" t="s">
        <v>21</v>
      </c>
      <c r="N380">
        <v>3.5847339232039288</v>
      </c>
      <c r="O380">
        <v>23.77347111504773</v>
      </c>
      <c r="P380">
        <v>24.220057080995964</v>
      </c>
      <c r="Q380">
        <v>403.27585976627711</v>
      </c>
      <c r="R380">
        <v>9.6590175269114926</v>
      </c>
    </row>
    <row r="381" spans="1:18" x14ac:dyDescent="0.25">
      <c r="A381" s="1">
        <v>45609</v>
      </c>
      <c r="B381" s="2" t="s">
        <v>27</v>
      </c>
      <c r="C381" s="2" t="s">
        <v>28</v>
      </c>
      <c r="D381" s="2" t="s">
        <v>29</v>
      </c>
      <c r="E381" s="2" t="s">
        <v>38</v>
      </c>
      <c r="F381">
        <v>266279</v>
      </c>
      <c r="G381">
        <v>21175</v>
      </c>
      <c r="H381">
        <v>3231</v>
      </c>
      <c r="I381">
        <v>1568</v>
      </c>
      <c r="J381">
        <v>646</v>
      </c>
      <c r="K381">
        <v>219965.47</v>
      </c>
      <c r="L381">
        <v>2905813.4</v>
      </c>
      <c r="M381" s="2" t="s">
        <v>21</v>
      </c>
      <c r="N381">
        <v>7.9521854896555872</v>
      </c>
      <c r="O381">
        <v>10.387979693034239</v>
      </c>
      <c r="P381">
        <v>15.258559622195985</v>
      </c>
      <c r="Q381">
        <v>340.50382352941176</v>
      </c>
      <c r="R381">
        <v>13.210316146438801</v>
      </c>
    </row>
    <row r="382" spans="1:18" x14ac:dyDescent="0.25">
      <c r="A382" s="1">
        <v>45610</v>
      </c>
      <c r="B382" s="2" t="s">
        <v>27</v>
      </c>
      <c r="C382" s="2" t="s">
        <v>28</v>
      </c>
      <c r="D382" s="2" t="s">
        <v>29</v>
      </c>
      <c r="E382" s="2" t="s">
        <v>40</v>
      </c>
      <c r="F382">
        <v>126096</v>
      </c>
      <c r="G382">
        <v>4710</v>
      </c>
      <c r="H382">
        <v>786</v>
      </c>
      <c r="I382">
        <v>422</v>
      </c>
      <c r="J382">
        <v>172</v>
      </c>
      <c r="K382">
        <v>75860.320000000007</v>
      </c>
      <c r="L382">
        <v>757098.6</v>
      </c>
      <c r="M382" s="2" t="s">
        <v>22</v>
      </c>
      <c r="N382">
        <v>3.735249333840883</v>
      </c>
      <c r="O382">
        <v>16.106225053078557</v>
      </c>
      <c r="P382">
        <v>16.687898089171973</v>
      </c>
      <c r="Q382">
        <v>441.04837209302332</v>
      </c>
      <c r="R382">
        <v>9.9801661791039091</v>
      </c>
    </row>
    <row r="383" spans="1:18" x14ac:dyDescent="0.25">
      <c r="A383" s="1">
        <v>45611</v>
      </c>
      <c r="B383" s="2" t="s">
        <v>27</v>
      </c>
      <c r="C383" s="2" t="s">
        <v>28</v>
      </c>
      <c r="D383" s="2" t="s">
        <v>29</v>
      </c>
      <c r="E383" s="2" t="s">
        <v>39</v>
      </c>
      <c r="F383">
        <v>72191</v>
      </c>
      <c r="G383">
        <v>4406</v>
      </c>
      <c r="H383">
        <v>911</v>
      </c>
      <c r="I383">
        <v>578</v>
      </c>
      <c r="J383">
        <v>345</v>
      </c>
      <c r="K383">
        <v>56628.01</v>
      </c>
      <c r="L383">
        <v>1560935.41</v>
      </c>
      <c r="M383" s="2" t="s">
        <v>19</v>
      </c>
      <c r="N383">
        <v>6.1032538682107189</v>
      </c>
      <c r="O383">
        <v>12.852476168860646</v>
      </c>
      <c r="P383">
        <v>20.676350431230141</v>
      </c>
      <c r="Q383">
        <v>164.13915942028987</v>
      </c>
      <c r="R383">
        <v>27.564723005452599</v>
      </c>
    </row>
    <row r="384" spans="1:18" x14ac:dyDescent="0.25">
      <c r="A384" s="1">
        <v>45612</v>
      </c>
      <c r="B384" s="2" t="s">
        <v>27</v>
      </c>
      <c r="C384" s="2" t="s">
        <v>28</v>
      </c>
      <c r="D384" s="2" t="s">
        <v>29</v>
      </c>
      <c r="E384" s="2" t="s">
        <v>40</v>
      </c>
      <c r="F384">
        <v>102772</v>
      </c>
      <c r="G384">
        <v>7546</v>
      </c>
      <c r="H384">
        <v>1445</v>
      </c>
      <c r="I384">
        <v>670</v>
      </c>
      <c r="J384">
        <v>401</v>
      </c>
      <c r="K384">
        <v>91991.98</v>
      </c>
      <c r="L384">
        <v>2282140.1</v>
      </c>
      <c r="M384" s="2" t="s">
        <v>22</v>
      </c>
      <c r="N384">
        <v>7.3424668197563534</v>
      </c>
      <c r="O384">
        <v>12.190826928173866</v>
      </c>
      <c r="P384">
        <v>19.149218128809967</v>
      </c>
      <c r="Q384">
        <v>229.40643391521195</v>
      </c>
      <c r="R384">
        <v>24.808033265508584</v>
      </c>
    </row>
    <row r="385" spans="1:18" x14ac:dyDescent="0.25">
      <c r="A385" s="1">
        <v>45613</v>
      </c>
      <c r="B385" s="2" t="s">
        <v>27</v>
      </c>
      <c r="C385" s="2" t="s">
        <v>28</v>
      </c>
      <c r="D385" s="2" t="s">
        <v>29</v>
      </c>
      <c r="E385" s="2" t="s">
        <v>39</v>
      </c>
      <c r="F385">
        <v>110873</v>
      </c>
      <c r="G385">
        <v>5990</v>
      </c>
      <c r="H385">
        <v>1401</v>
      </c>
      <c r="I385">
        <v>803</v>
      </c>
      <c r="J385">
        <v>465</v>
      </c>
      <c r="K385">
        <v>86112.93</v>
      </c>
      <c r="L385">
        <v>2382488.17</v>
      </c>
      <c r="M385" s="2" t="s">
        <v>22</v>
      </c>
      <c r="N385">
        <v>5.4025777240626658</v>
      </c>
      <c r="O385">
        <v>14.376115191986644</v>
      </c>
      <c r="P385">
        <v>23.388981636060098</v>
      </c>
      <c r="Q385">
        <v>185.18909677419353</v>
      </c>
      <c r="R385">
        <v>27.667020155974257</v>
      </c>
    </row>
    <row r="386" spans="1:18" x14ac:dyDescent="0.25">
      <c r="A386" s="1">
        <v>45614</v>
      </c>
      <c r="B386" s="2" t="s">
        <v>27</v>
      </c>
      <c r="C386" s="2" t="s">
        <v>28</v>
      </c>
      <c r="D386" s="2" t="s">
        <v>29</v>
      </c>
      <c r="E386" s="2" t="s">
        <v>38</v>
      </c>
      <c r="F386">
        <v>204362</v>
      </c>
      <c r="G386">
        <v>14066</v>
      </c>
      <c r="H386">
        <v>3141</v>
      </c>
      <c r="I386">
        <v>1562</v>
      </c>
      <c r="J386">
        <v>659</v>
      </c>
      <c r="K386">
        <v>184747.29</v>
      </c>
      <c r="L386">
        <v>3568654</v>
      </c>
      <c r="M386" s="2" t="s">
        <v>23</v>
      </c>
      <c r="N386">
        <v>6.8828842935575105</v>
      </c>
      <c r="O386">
        <v>13.134316081330869</v>
      </c>
      <c r="P386">
        <v>22.330442201052183</v>
      </c>
      <c r="Q386">
        <v>280.34490136570565</v>
      </c>
      <c r="R386">
        <v>19.316407834723854</v>
      </c>
    </row>
    <row r="387" spans="1:18" x14ac:dyDescent="0.25">
      <c r="A387" s="1">
        <v>45615</v>
      </c>
      <c r="B387" s="2" t="s">
        <v>27</v>
      </c>
      <c r="C387" s="2" t="s">
        <v>28</v>
      </c>
      <c r="D387" s="2" t="s">
        <v>29</v>
      </c>
      <c r="E387" s="2" t="s">
        <v>38</v>
      </c>
      <c r="F387">
        <v>180572</v>
      </c>
      <c r="G387">
        <v>12720</v>
      </c>
      <c r="H387">
        <v>2814</v>
      </c>
      <c r="I387">
        <v>1384</v>
      </c>
      <c r="J387">
        <v>578</v>
      </c>
      <c r="K387">
        <v>137201.60999999999</v>
      </c>
      <c r="L387">
        <v>3495163.5</v>
      </c>
      <c r="M387" s="2" t="s">
        <v>19</v>
      </c>
      <c r="N387">
        <v>7.0442815054382741</v>
      </c>
      <c r="O387">
        <v>10.786290094339622</v>
      </c>
      <c r="P387">
        <v>22.122641509433961</v>
      </c>
      <c r="Q387">
        <v>237.37302768166089</v>
      </c>
      <c r="R387">
        <v>25.474653686644057</v>
      </c>
    </row>
    <row r="388" spans="1:18" x14ac:dyDescent="0.25">
      <c r="A388" s="1">
        <v>45616</v>
      </c>
      <c r="B388" s="2" t="s">
        <v>27</v>
      </c>
      <c r="C388" s="2" t="s">
        <v>28</v>
      </c>
      <c r="D388" s="2" t="s">
        <v>29</v>
      </c>
      <c r="E388" s="2" t="s">
        <v>40</v>
      </c>
      <c r="F388">
        <v>193929</v>
      </c>
      <c r="G388">
        <v>13873</v>
      </c>
      <c r="H388">
        <v>3062</v>
      </c>
      <c r="I388">
        <v>1471</v>
      </c>
      <c r="J388">
        <v>874</v>
      </c>
      <c r="K388">
        <v>161155.16</v>
      </c>
      <c r="L388">
        <v>6776185.6900000004</v>
      </c>
      <c r="M388" s="2" t="s">
        <v>19</v>
      </c>
      <c r="N388">
        <v>7.1536490158769448</v>
      </c>
      <c r="O388">
        <v>11.616460751099257</v>
      </c>
      <c r="P388">
        <v>22.071649967562891</v>
      </c>
      <c r="Q388">
        <v>184.38805491990848</v>
      </c>
      <c r="R388">
        <v>42.047587492699584</v>
      </c>
    </row>
    <row r="389" spans="1:18" x14ac:dyDescent="0.25">
      <c r="A389" s="1">
        <v>45617</v>
      </c>
      <c r="B389" s="2" t="s">
        <v>27</v>
      </c>
      <c r="C389" s="2" t="s">
        <v>28</v>
      </c>
      <c r="D389" s="2" t="s">
        <v>29</v>
      </c>
      <c r="E389" s="2" t="s">
        <v>40</v>
      </c>
      <c r="F389">
        <v>82283</v>
      </c>
      <c r="G389">
        <v>2921</v>
      </c>
      <c r="H389">
        <v>481</v>
      </c>
      <c r="I389">
        <v>235</v>
      </c>
      <c r="J389">
        <v>130</v>
      </c>
      <c r="K389">
        <v>76726.47</v>
      </c>
      <c r="L389">
        <v>415137.55</v>
      </c>
      <c r="M389" s="2" t="s">
        <v>20</v>
      </c>
      <c r="N389">
        <v>3.5499434877192129</v>
      </c>
      <c r="O389">
        <v>26.26719274221157</v>
      </c>
      <c r="P389">
        <v>16.466963368709344</v>
      </c>
      <c r="Q389">
        <v>590.20361538461543</v>
      </c>
      <c r="R389">
        <v>5.4106170921195771</v>
      </c>
    </row>
    <row r="390" spans="1:18" x14ac:dyDescent="0.25">
      <c r="A390" s="1">
        <v>45618</v>
      </c>
      <c r="B390" s="2" t="s">
        <v>27</v>
      </c>
      <c r="C390" s="2" t="s">
        <v>28</v>
      </c>
      <c r="D390" s="2" t="s">
        <v>29</v>
      </c>
      <c r="E390" s="2" t="s">
        <v>40</v>
      </c>
      <c r="F390">
        <v>192091</v>
      </c>
      <c r="G390">
        <v>11604</v>
      </c>
      <c r="H390">
        <v>2347</v>
      </c>
      <c r="I390">
        <v>1104</v>
      </c>
      <c r="J390">
        <v>643</v>
      </c>
      <c r="K390">
        <v>125058.01</v>
      </c>
      <c r="L390">
        <v>4406790.3499999996</v>
      </c>
      <c r="M390" s="2" t="s">
        <v>19</v>
      </c>
      <c r="N390">
        <v>6.0408868713266113</v>
      </c>
      <c r="O390">
        <v>10.777146673560841</v>
      </c>
      <c r="P390">
        <v>20.225784212340571</v>
      </c>
      <c r="Q390">
        <v>194.49146189735615</v>
      </c>
      <c r="R390">
        <v>35.237969563085159</v>
      </c>
    </row>
    <row r="391" spans="1:18" x14ac:dyDescent="0.25">
      <c r="A391" s="1">
        <v>45619</v>
      </c>
      <c r="B391" s="2" t="s">
        <v>27</v>
      </c>
      <c r="C391" s="2" t="s">
        <v>28</v>
      </c>
      <c r="D391" s="2" t="s">
        <v>29</v>
      </c>
      <c r="E391" s="2" t="s">
        <v>40</v>
      </c>
      <c r="F391">
        <v>65161</v>
      </c>
      <c r="G391">
        <v>2390</v>
      </c>
      <c r="H391">
        <v>561</v>
      </c>
      <c r="I391">
        <v>334</v>
      </c>
      <c r="J391">
        <v>173</v>
      </c>
      <c r="K391">
        <v>46009.7</v>
      </c>
      <c r="L391">
        <v>825433.67</v>
      </c>
      <c r="M391" s="2" t="s">
        <v>23</v>
      </c>
      <c r="N391">
        <v>3.6678381240312454</v>
      </c>
      <c r="O391">
        <v>19.25092050209205</v>
      </c>
      <c r="P391">
        <v>23.472803347280337</v>
      </c>
      <c r="Q391">
        <v>265.95202312138724</v>
      </c>
      <c r="R391">
        <v>17.940427127323154</v>
      </c>
    </row>
    <row r="392" spans="1:18" x14ac:dyDescent="0.25">
      <c r="A392" s="1">
        <v>45620</v>
      </c>
      <c r="B392" s="2" t="s">
        <v>27</v>
      </c>
      <c r="C392" s="2" t="s">
        <v>28</v>
      </c>
      <c r="D392" s="2" t="s">
        <v>29</v>
      </c>
      <c r="E392" s="2" t="s">
        <v>39</v>
      </c>
      <c r="F392">
        <v>273486</v>
      </c>
      <c r="G392">
        <v>9563</v>
      </c>
      <c r="H392">
        <v>1760</v>
      </c>
      <c r="I392">
        <v>876</v>
      </c>
      <c r="J392">
        <v>515</v>
      </c>
      <c r="K392">
        <v>230126.27</v>
      </c>
      <c r="L392">
        <v>3733798.06</v>
      </c>
      <c r="M392" s="2" t="s">
        <v>22</v>
      </c>
      <c r="N392">
        <v>3.4967054986361275</v>
      </c>
      <c r="O392">
        <v>24.06423402697898</v>
      </c>
      <c r="P392">
        <v>18.40426644358465</v>
      </c>
      <c r="Q392">
        <v>446.84712621359222</v>
      </c>
      <c r="R392">
        <v>16.224997085295826</v>
      </c>
    </row>
    <row r="393" spans="1:18" x14ac:dyDescent="0.25">
      <c r="A393" s="1">
        <v>45621</v>
      </c>
      <c r="B393" s="2" t="s">
        <v>27</v>
      </c>
      <c r="C393" s="2" t="s">
        <v>28</v>
      </c>
      <c r="D393" s="2" t="s">
        <v>29</v>
      </c>
      <c r="E393" s="2" t="s">
        <v>39</v>
      </c>
      <c r="F393">
        <v>69058</v>
      </c>
      <c r="G393">
        <v>3605</v>
      </c>
      <c r="H393">
        <v>672</v>
      </c>
      <c r="I393">
        <v>383</v>
      </c>
      <c r="J393">
        <v>211</v>
      </c>
      <c r="K393">
        <v>46789.73</v>
      </c>
      <c r="L393">
        <v>1676078.02</v>
      </c>
      <c r="M393" s="2" t="s">
        <v>23</v>
      </c>
      <c r="N393">
        <v>5.2202496452257527</v>
      </c>
      <c r="O393">
        <v>12.979120665742025</v>
      </c>
      <c r="P393">
        <v>18.640776699029125</v>
      </c>
      <c r="Q393">
        <v>221.7522748815166</v>
      </c>
      <c r="R393">
        <v>35.821493733774481</v>
      </c>
    </row>
    <row r="394" spans="1:18" x14ac:dyDescent="0.25">
      <c r="A394" s="1">
        <v>45622</v>
      </c>
      <c r="B394" s="2" t="s">
        <v>27</v>
      </c>
      <c r="C394" s="2" t="s">
        <v>28</v>
      </c>
      <c r="D394" s="2" t="s">
        <v>29</v>
      </c>
      <c r="E394" s="2" t="s">
        <v>39</v>
      </c>
      <c r="F394">
        <v>91853</v>
      </c>
      <c r="G394">
        <v>6881</v>
      </c>
      <c r="H394">
        <v>1240</v>
      </c>
      <c r="I394">
        <v>672</v>
      </c>
      <c r="J394">
        <v>277</v>
      </c>
      <c r="K394">
        <v>44008.160000000003</v>
      </c>
      <c r="L394">
        <v>1877093.83</v>
      </c>
      <c r="M394" s="2" t="s">
        <v>20</v>
      </c>
      <c r="N394">
        <v>7.4913176488519699</v>
      </c>
      <c r="O394">
        <v>6.3956052899287901</v>
      </c>
      <c r="P394">
        <v>18.0206365353873</v>
      </c>
      <c r="Q394">
        <v>158.87422382671483</v>
      </c>
      <c r="R394">
        <v>42.653313158287006</v>
      </c>
    </row>
    <row r="395" spans="1:18" x14ac:dyDescent="0.25">
      <c r="A395" s="1">
        <v>45623</v>
      </c>
      <c r="B395" s="2" t="s">
        <v>27</v>
      </c>
      <c r="C395" s="2" t="s">
        <v>28</v>
      </c>
      <c r="D395" s="2" t="s">
        <v>29</v>
      </c>
      <c r="E395" s="2" t="s">
        <v>38</v>
      </c>
      <c r="F395">
        <v>90600</v>
      </c>
      <c r="G395">
        <v>5028</v>
      </c>
      <c r="H395">
        <v>1186</v>
      </c>
      <c r="I395">
        <v>602</v>
      </c>
      <c r="J395">
        <v>308</v>
      </c>
      <c r="K395">
        <v>73545.38</v>
      </c>
      <c r="L395">
        <v>1650695.41</v>
      </c>
      <c r="M395" s="2" t="s">
        <v>21</v>
      </c>
      <c r="N395">
        <v>5.5496688741721849</v>
      </c>
      <c r="O395">
        <v>14.627163882259348</v>
      </c>
      <c r="P395">
        <v>23.587907716785999</v>
      </c>
      <c r="Q395">
        <v>238.78370129870132</v>
      </c>
      <c r="R395">
        <v>22.44458333072723</v>
      </c>
    </row>
    <row r="396" spans="1:18" x14ac:dyDescent="0.25">
      <c r="A396" s="1">
        <v>45624</v>
      </c>
      <c r="B396" s="2" t="s">
        <v>27</v>
      </c>
      <c r="C396" s="2" t="s">
        <v>28</v>
      </c>
      <c r="D396" s="2" t="s">
        <v>29</v>
      </c>
      <c r="E396" s="2" t="s">
        <v>39</v>
      </c>
      <c r="F396">
        <v>175761</v>
      </c>
      <c r="G396">
        <v>5318</v>
      </c>
      <c r="H396">
        <v>1233</v>
      </c>
      <c r="I396">
        <v>657</v>
      </c>
      <c r="J396">
        <v>374</v>
      </c>
      <c r="K396">
        <v>116485.8</v>
      </c>
      <c r="L396">
        <v>2032416.22</v>
      </c>
      <c r="M396" s="2" t="s">
        <v>23</v>
      </c>
      <c r="N396">
        <v>3.0256996717132925</v>
      </c>
      <c r="O396">
        <v>21.904061677322304</v>
      </c>
      <c r="P396">
        <v>23.185408048138399</v>
      </c>
      <c r="Q396">
        <v>311.45935828877003</v>
      </c>
      <c r="R396">
        <v>17.447759469394551</v>
      </c>
    </row>
    <row r="397" spans="1:18" x14ac:dyDescent="0.25">
      <c r="A397" s="1">
        <v>45625</v>
      </c>
      <c r="B397" s="2" t="s">
        <v>27</v>
      </c>
      <c r="C397" s="2" t="s">
        <v>28</v>
      </c>
      <c r="D397" s="2" t="s">
        <v>29</v>
      </c>
      <c r="E397" s="2" t="s">
        <v>39</v>
      </c>
      <c r="F397">
        <v>255808</v>
      </c>
      <c r="G397">
        <v>20215</v>
      </c>
      <c r="H397">
        <v>4403</v>
      </c>
      <c r="I397">
        <v>2084</v>
      </c>
      <c r="J397">
        <v>1238</v>
      </c>
      <c r="K397">
        <v>219725.73</v>
      </c>
      <c r="L397">
        <v>5687975.9299999997</v>
      </c>
      <c r="M397" s="2" t="s">
        <v>19</v>
      </c>
      <c r="N397">
        <v>7.9024111833875406</v>
      </c>
      <c r="O397">
        <v>10.869440019787287</v>
      </c>
      <c r="P397">
        <v>21.780855800148405</v>
      </c>
      <c r="Q397">
        <v>177.48443457189015</v>
      </c>
      <c r="R397">
        <v>25.886708534316849</v>
      </c>
    </row>
    <row r="398" spans="1:18" x14ac:dyDescent="0.25">
      <c r="A398" s="1">
        <v>45626</v>
      </c>
      <c r="B398" s="2" t="s">
        <v>27</v>
      </c>
      <c r="C398" s="2" t="s">
        <v>28</v>
      </c>
      <c r="D398" s="2" t="s">
        <v>29</v>
      </c>
      <c r="E398" s="2" t="s">
        <v>39</v>
      </c>
      <c r="F398">
        <v>80454</v>
      </c>
      <c r="G398">
        <v>5850</v>
      </c>
      <c r="H398">
        <v>1090</v>
      </c>
      <c r="I398">
        <v>544</v>
      </c>
      <c r="J398">
        <v>298</v>
      </c>
      <c r="K398">
        <v>70151.88</v>
      </c>
      <c r="L398">
        <v>1542618.67</v>
      </c>
      <c r="M398" s="2" t="s">
        <v>22</v>
      </c>
      <c r="N398">
        <v>7.2712357371914376</v>
      </c>
      <c r="O398">
        <v>11.991774358974359</v>
      </c>
      <c r="P398">
        <v>18.632478632478634</v>
      </c>
      <c r="Q398">
        <v>235.40899328859061</v>
      </c>
      <c r="R398">
        <v>21.98969820908577</v>
      </c>
    </row>
    <row r="399" spans="1:18" x14ac:dyDescent="0.25">
      <c r="A399" s="1">
        <v>45627</v>
      </c>
      <c r="B399" s="2" t="s">
        <v>27</v>
      </c>
      <c r="C399" s="2" t="s">
        <v>28</v>
      </c>
      <c r="D399" s="2" t="s">
        <v>29</v>
      </c>
      <c r="E399" s="2" t="s">
        <v>38</v>
      </c>
      <c r="F399">
        <v>197437</v>
      </c>
      <c r="G399">
        <v>15661</v>
      </c>
      <c r="H399">
        <v>3170</v>
      </c>
      <c r="I399">
        <v>2036</v>
      </c>
      <c r="J399">
        <v>967</v>
      </c>
      <c r="K399">
        <v>126999.65</v>
      </c>
      <c r="L399">
        <v>3380862.13</v>
      </c>
      <c r="M399" s="2" t="s">
        <v>21</v>
      </c>
      <c r="N399">
        <v>7.9321505087698867</v>
      </c>
      <c r="O399">
        <v>8.1092937871144883</v>
      </c>
      <c r="P399">
        <v>20.241363897579976</v>
      </c>
      <c r="Q399">
        <v>131.33366080661841</v>
      </c>
      <c r="R399">
        <v>26.621035018600445</v>
      </c>
    </row>
    <row r="400" spans="1:18" x14ac:dyDescent="0.25">
      <c r="A400" s="1">
        <v>45628</v>
      </c>
      <c r="B400" s="2" t="s">
        <v>27</v>
      </c>
      <c r="C400" s="2" t="s">
        <v>28</v>
      </c>
      <c r="D400" s="2" t="s">
        <v>29</v>
      </c>
      <c r="E400" s="2" t="s">
        <v>40</v>
      </c>
      <c r="F400">
        <v>89542</v>
      </c>
      <c r="G400">
        <v>6519</v>
      </c>
      <c r="H400">
        <v>1086</v>
      </c>
      <c r="I400">
        <v>697</v>
      </c>
      <c r="J400">
        <v>285</v>
      </c>
      <c r="K400">
        <v>60866.25</v>
      </c>
      <c r="L400">
        <v>1813988.18</v>
      </c>
      <c r="M400" s="2" t="s">
        <v>21</v>
      </c>
      <c r="N400">
        <v>7.2803823903866345</v>
      </c>
      <c r="O400">
        <v>9.3367464335020713</v>
      </c>
      <c r="P400">
        <v>16.65899677864703</v>
      </c>
      <c r="Q400">
        <v>213.56578947368422</v>
      </c>
      <c r="R400">
        <v>29.802857577064465</v>
      </c>
    </row>
    <row r="401" spans="1:18" x14ac:dyDescent="0.25">
      <c r="A401" s="1">
        <v>45629</v>
      </c>
      <c r="B401" s="2" t="s">
        <v>27</v>
      </c>
      <c r="C401" s="2" t="s">
        <v>28</v>
      </c>
      <c r="D401" s="2" t="s">
        <v>29</v>
      </c>
      <c r="E401" s="2" t="s">
        <v>38</v>
      </c>
      <c r="F401">
        <v>264827</v>
      </c>
      <c r="G401">
        <v>17541</v>
      </c>
      <c r="H401">
        <v>3210</v>
      </c>
      <c r="I401">
        <v>1832</v>
      </c>
      <c r="J401">
        <v>918</v>
      </c>
      <c r="K401">
        <v>239779.4</v>
      </c>
      <c r="L401">
        <v>4492737.47</v>
      </c>
      <c r="M401" s="2" t="s">
        <v>20</v>
      </c>
      <c r="N401">
        <v>6.6235693490467362</v>
      </c>
      <c r="O401">
        <v>13.669653953594436</v>
      </c>
      <c r="P401">
        <v>18.299982897212246</v>
      </c>
      <c r="Q401">
        <v>261.19760348583878</v>
      </c>
      <c r="R401">
        <v>18.736961849099629</v>
      </c>
    </row>
    <row r="402" spans="1:18" x14ac:dyDescent="0.25">
      <c r="A402" s="1">
        <v>45630</v>
      </c>
      <c r="B402" s="2" t="s">
        <v>27</v>
      </c>
      <c r="C402" s="2" t="s">
        <v>28</v>
      </c>
      <c r="D402" s="2" t="s">
        <v>29</v>
      </c>
      <c r="E402" s="2" t="s">
        <v>40</v>
      </c>
      <c r="F402">
        <v>246484</v>
      </c>
      <c r="G402">
        <v>15426</v>
      </c>
      <c r="H402">
        <v>3748</v>
      </c>
      <c r="I402">
        <v>2056</v>
      </c>
      <c r="J402">
        <v>1100</v>
      </c>
      <c r="K402">
        <v>197907.72</v>
      </c>
      <c r="L402">
        <v>3733897.51</v>
      </c>
      <c r="M402" s="2" t="s">
        <v>20</v>
      </c>
      <c r="N402">
        <v>6.2584183963259283</v>
      </c>
      <c r="O402">
        <v>12.829490470633994</v>
      </c>
      <c r="P402">
        <v>24.296642032931416</v>
      </c>
      <c r="Q402">
        <v>179.91610909090909</v>
      </c>
      <c r="R402">
        <v>18.86686133315062</v>
      </c>
    </row>
    <row r="403" spans="1:18" x14ac:dyDescent="0.25">
      <c r="A403" s="1">
        <v>45631</v>
      </c>
      <c r="B403" s="2" t="s">
        <v>27</v>
      </c>
      <c r="C403" s="2" t="s">
        <v>28</v>
      </c>
      <c r="D403" s="2" t="s">
        <v>29</v>
      </c>
      <c r="E403" s="2" t="s">
        <v>39</v>
      </c>
      <c r="F403">
        <v>166847</v>
      </c>
      <c r="G403">
        <v>6747</v>
      </c>
      <c r="H403">
        <v>1403</v>
      </c>
      <c r="I403">
        <v>818</v>
      </c>
      <c r="J403">
        <v>471</v>
      </c>
      <c r="K403">
        <v>125046.51</v>
      </c>
      <c r="L403">
        <v>1803264.94</v>
      </c>
      <c r="M403" s="2" t="s">
        <v>22</v>
      </c>
      <c r="N403">
        <v>4.0438245818024896</v>
      </c>
      <c r="O403">
        <v>18.53364606491774</v>
      </c>
      <c r="P403">
        <v>20.794427152808655</v>
      </c>
      <c r="Q403">
        <v>265.49152866242036</v>
      </c>
      <c r="R403">
        <v>14.420753845909015</v>
      </c>
    </row>
    <row r="404" spans="1:18" x14ac:dyDescent="0.25">
      <c r="A404" s="1">
        <v>45632</v>
      </c>
      <c r="B404" s="2" t="s">
        <v>27</v>
      </c>
      <c r="C404" s="2" t="s">
        <v>28</v>
      </c>
      <c r="D404" s="2" t="s">
        <v>29</v>
      </c>
      <c r="E404" s="2" t="s">
        <v>38</v>
      </c>
      <c r="F404">
        <v>159764</v>
      </c>
      <c r="G404">
        <v>8942</v>
      </c>
      <c r="H404">
        <v>1411</v>
      </c>
      <c r="I404">
        <v>644</v>
      </c>
      <c r="J404">
        <v>294</v>
      </c>
      <c r="K404">
        <v>90588.72</v>
      </c>
      <c r="L404">
        <v>1354157.21</v>
      </c>
      <c r="M404" s="2" t="s">
        <v>22</v>
      </c>
      <c r="N404">
        <v>5.5970055832352719</v>
      </c>
      <c r="O404">
        <v>10.130700067099083</v>
      </c>
      <c r="P404">
        <v>15.779467680608365</v>
      </c>
      <c r="Q404">
        <v>308.12489795918367</v>
      </c>
      <c r="R404">
        <v>14.948408698124886</v>
      </c>
    </row>
    <row r="405" spans="1:18" x14ac:dyDescent="0.25">
      <c r="A405" s="1">
        <v>45633</v>
      </c>
      <c r="B405" s="2" t="s">
        <v>27</v>
      </c>
      <c r="C405" s="2" t="s">
        <v>28</v>
      </c>
      <c r="D405" s="2" t="s">
        <v>29</v>
      </c>
      <c r="E405" s="2" t="s">
        <v>39</v>
      </c>
      <c r="F405">
        <v>102163</v>
      </c>
      <c r="G405">
        <v>5048</v>
      </c>
      <c r="H405">
        <v>1064</v>
      </c>
      <c r="I405">
        <v>661</v>
      </c>
      <c r="J405">
        <v>327</v>
      </c>
      <c r="K405">
        <v>60848.34</v>
      </c>
      <c r="L405">
        <v>2575367.84</v>
      </c>
      <c r="M405" s="2" t="s">
        <v>19</v>
      </c>
      <c r="N405">
        <v>4.9411234987226296</v>
      </c>
      <c r="O405">
        <v>12.053950079239302</v>
      </c>
      <c r="P405">
        <v>21.077654516640255</v>
      </c>
      <c r="Q405">
        <v>186.08055045871558</v>
      </c>
      <c r="R405">
        <v>42.324373023158891</v>
      </c>
    </row>
    <row r="406" spans="1:18" x14ac:dyDescent="0.25">
      <c r="A406" s="1">
        <v>45634</v>
      </c>
      <c r="B406" s="2" t="s">
        <v>27</v>
      </c>
      <c r="C406" s="2" t="s">
        <v>28</v>
      </c>
      <c r="D406" s="2" t="s">
        <v>29</v>
      </c>
      <c r="E406" s="2" t="s">
        <v>40</v>
      </c>
      <c r="F406">
        <v>126853</v>
      </c>
      <c r="G406">
        <v>7221</v>
      </c>
      <c r="H406">
        <v>1286</v>
      </c>
      <c r="I406">
        <v>797</v>
      </c>
      <c r="J406">
        <v>398</v>
      </c>
      <c r="K406">
        <v>50966.79</v>
      </c>
      <c r="L406">
        <v>2508469.86</v>
      </c>
      <c r="M406" s="2" t="s">
        <v>19</v>
      </c>
      <c r="N406">
        <v>5.6924156306906424</v>
      </c>
      <c r="O406">
        <v>7.0581346073950977</v>
      </c>
      <c r="P406">
        <v>17.809167705303974</v>
      </c>
      <c r="Q406">
        <v>128.05726130653267</v>
      </c>
      <c r="R406">
        <v>49.217732959050387</v>
      </c>
    </row>
    <row r="407" spans="1:18" x14ac:dyDescent="0.25">
      <c r="A407" s="1">
        <v>45635</v>
      </c>
      <c r="B407" s="2" t="s">
        <v>27</v>
      </c>
      <c r="C407" s="2" t="s">
        <v>28</v>
      </c>
      <c r="D407" s="2" t="s">
        <v>29</v>
      </c>
      <c r="E407" s="2" t="s">
        <v>40</v>
      </c>
      <c r="F407">
        <v>220003</v>
      </c>
      <c r="G407">
        <v>12964</v>
      </c>
      <c r="H407">
        <v>2716</v>
      </c>
      <c r="I407">
        <v>1272</v>
      </c>
      <c r="J407">
        <v>714</v>
      </c>
      <c r="K407">
        <v>149924.94</v>
      </c>
      <c r="L407">
        <v>5270433.16</v>
      </c>
      <c r="M407" s="2" t="s">
        <v>21</v>
      </c>
      <c r="N407">
        <v>5.8926469184511117</v>
      </c>
      <c r="O407">
        <v>11.564713051527306</v>
      </c>
      <c r="P407">
        <v>20.950323974082075</v>
      </c>
      <c r="Q407">
        <v>209.97890756302522</v>
      </c>
      <c r="R407">
        <v>35.153812034208585</v>
      </c>
    </row>
    <row r="408" spans="1:18" x14ac:dyDescent="0.25">
      <c r="A408" s="1">
        <v>45636</v>
      </c>
      <c r="B408" s="2" t="s">
        <v>27</v>
      </c>
      <c r="C408" s="2" t="s">
        <v>28</v>
      </c>
      <c r="D408" s="2" t="s">
        <v>29</v>
      </c>
      <c r="E408" s="2" t="s">
        <v>39</v>
      </c>
      <c r="F408">
        <v>201824</v>
      </c>
      <c r="G408">
        <v>7307</v>
      </c>
      <c r="H408">
        <v>1450</v>
      </c>
      <c r="I408">
        <v>689</v>
      </c>
      <c r="J408">
        <v>362</v>
      </c>
      <c r="K408">
        <v>150905.54999999999</v>
      </c>
      <c r="L408">
        <v>1905071.16</v>
      </c>
      <c r="M408" s="2" t="s">
        <v>22</v>
      </c>
      <c r="N408">
        <v>3.6204812113524656</v>
      </c>
      <c r="O408">
        <v>20.652189681127684</v>
      </c>
      <c r="P408">
        <v>19.843985219652389</v>
      </c>
      <c r="Q408">
        <v>416.86616022099446</v>
      </c>
      <c r="R408">
        <v>12.624261731924372</v>
      </c>
    </row>
    <row r="409" spans="1:18" x14ac:dyDescent="0.25">
      <c r="A409" s="1">
        <v>45637</v>
      </c>
      <c r="B409" s="2" t="s">
        <v>27</v>
      </c>
      <c r="C409" s="2" t="s">
        <v>28</v>
      </c>
      <c r="D409" s="2" t="s">
        <v>29</v>
      </c>
      <c r="E409" s="2" t="s">
        <v>38</v>
      </c>
      <c r="F409">
        <v>250260</v>
      </c>
      <c r="G409">
        <v>19853</v>
      </c>
      <c r="H409">
        <v>3492</v>
      </c>
      <c r="I409">
        <v>1798</v>
      </c>
      <c r="J409">
        <v>784</v>
      </c>
      <c r="K409">
        <v>135506.91</v>
      </c>
      <c r="L409">
        <v>2906425.19</v>
      </c>
      <c r="M409" s="2" t="s">
        <v>19</v>
      </c>
      <c r="N409">
        <v>7.9329497322784297</v>
      </c>
      <c r="O409">
        <v>6.8255130207021608</v>
      </c>
      <c r="P409">
        <v>17.589281216944542</v>
      </c>
      <c r="Q409">
        <v>172.84044642857143</v>
      </c>
      <c r="R409">
        <v>21.448538602201172</v>
      </c>
    </row>
    <row r="410" spans="1:18" x14ac:dyDescent="0.25">
      <c r="A410" s="1">
        <v>45638</v>
      </c>
      <c r="B410" s="2" t="s">
        <v>27</v>
      </c>
      <c r="C410" s="2" t="s">
        <v>28</v>
      </c>
      <c r="D410" s="2" t="s">
        <v>29</v>
      </c>
      <c r="E410" s="2" t="s">
        <v>40</v>
      </c>
      <c r="F410">
        <v>135664</v>
      </c>
      <c r="G410">
        <v>4928</v>
      </c>
      <c r="H410">
        <v>1186</v>
      </c>
      <c r="I410">
        <v>699</v>
      </c>
      <c r="J410">
        <v>396</v>
      </c>
      <c r="K410">
        <v>57125.919999999998</v>
      </c>
      <c r="L410">
        <v>2556577.29</v>
      </c>
      <c r="M410" s="2" t="s">
        <v>19</v>
      </c>
      <c r="N410">
        <v>3.6325038329991748</v>
      </c>
      <c r="O410">
        <v>11.59211038961039</v>
      </c>
      <c r="P410">
        <v>24.066558441558442</v>
      </c>
      <c r="Q410">
        <v>144.25737373737374</v>
      </c>
      <c r="R410">
        <v>44.753367473119035</v>
      </c>
    </row>
    <row r="411" spans="1:18" x14ac:dyDescent="0.25">
      <c r="A411" s="1">
        <v>45639</v>
      </c>
      <c r="B411" s="2" t="s">
        <v>27</v>
      </c>
      <c r="C411" s="2" t="s">
        <v>28</v>
      </c>
      <c r="D411" s="2" t="s">
        <v>29</v>
      </c>
      <c r="E411" s="2" t="s">
        <v>40</v>
      </c>
      <c r="F411">
        <v>160397</v>
      </c>
      <c r="G411">
        <v>9855</v>
      </c>
      <c r="H411">
        <v>1850</v>
      </c>
      <c r="I411">
        <v>945</v>
      </c>
      <c r="J411">
        <v>509</v>
      </c>
      <c r="K411">
        <v>66687.61</v>
      </c>
      <c r="L411">
        <v>2358767.81</v>
      </c>
      <c r="M411" s="2" t="s">
        <v>22</v>
      </c>
      <c r="N411">
        <v>6.1441298777408555</v>
      </c>
      <c r="O411">
        <v>6.7668807711821408</v>
      </c>
      <c r="P411">
        <v>18.772196854388636</v>
      </c>
      <c r="Q411">
        <v>131.01691552062869</v>
      </c>
      <c r="R411">
        <v>35.370405537100524</v>
      </c>
    </row>
    <row r="412" spans="1:18" x14ac:dyDescent="0.25">
      <c r="A412" s="1">
        <v>45640</v>
      </c>
      <c r="B412" s="2" t="s">
        <v>27</v>
      </c>
      <c r="C412" s="2" t="s">
        <v>28</v>
      </c>
      <c r="D412" s="2" t="s">
        <v>29</v>
      </c>
      <c r="E412" s="2" t="s">
        <v>39</v>
      </c>
      <c r="F412">
        <v>79723</v>
      </c>
      <c r="G412">
        <v>3466</v>
      </c>
      <c r="H412">
        <v>546</v>
      </c>
      <c r="I412">
        <v>277</v>
      </c>
      <c r="J412">
        <v>162</v>
      </c>
      <c r="K412">
        <v>45007.68</v>
      </c>
      <c r="L412">
        <v>714695.19</v>
      </c>
      <c r="M412" s="2" t="s">
        <v>22</v>
      </c>
      <c r="N412">
        <v>4.3475534036601733</v>
      </c>
      <c r="O412">
        <v>12.985481823427582</v>
      </c>
      <c r="P412">
        <v>15.753029428736296</v>
      </c>
      <c r="Q412">
        <v>277.82518518518521</v>
      </c>
      <c r="R412">
        <v>15.879405248170977</v>
      </c>
    </row>
    <row r="413" spans="1:18" x14ac:dyDescent="0.25">
      <c r="A413" s="1">
        <v>45641</v>
      </c>
      <c r="B413" s="2" t="s">
        <v>27</v>
      </c>
      <c r="C413" s="2" t="s">
        <v>28</v>
      </c>
      <c r="D413" s="2" t="s">
        <v>29</v>
      </c>
      <c r="E413" s="2" t="s">
        <v>40</v>
      </c>
      <c r="F413">
        <v>152326</v>
      </c>
      <c r="G413">
        <v>8620</v>
      </c>
      <c r="H413">
        <v>2136</v>
      </c>
      <c r="I413">
        <v>1366</v>
      </c>
      <c r="J413">
        <v>558</v>
      </c>
      <c r="K413">
        <v>144403.81</v>
      </c>
      <c r="L413">
        <v>4066244.11</v>
      </c>
      <c r="M413" s="2" t="s">
        <v>20</v>
      </c>
      <c r="N413">
        <v>5.6589157464910782</v>
      </c>
      <c r="O413">
        <v>16.752182134570766</v>
      </c>
      <c r="P413">
        <v>24.779582366589327</v>
      </c>
      <c r="Q413">
        <v>258.78818996415771</v>
      </c>
      <c r="R413">
        <v>28.158842277083963</v>
      </c>
    </row>
    <row r="414" spans="1:18" x14ac:dyDescent="0.25">
      <c r="A414" s="1">
        <v>45642</v>
      </c>
      <c r="B414" s="2" t="s">
        <v>27</v>
      </c>
      <c r="C414" s="2" t="s">
        <v>28</v>
      </c>
      <c r="D414" s="2" t="s">
        <v>29</v>
      </c>
      <c r="E414" s="2" t="s">
        <v>40</v>
      </c>
      <c r="F414">
        <v>215008</v>
      </c>
      <c r="G414">
        <v>12718</v>
      </c>
      <c r="H414">
        <v>3010</v>
      </c>
      <c r="I414">
        <v>1775</v>
      </c>
      <c r="J414">
        <v>928</v>
      </c>
      <c r="K414">
        <v>185494.55</v>
      </c>
      <c r="L414">
        <v>5966828.5599999996</v>
      </c>
      <c r="M414" s="2" t="s">
        <v>20</v>
      </c>
      <c r="N414">
        <v>5.915128739395743</v>
      </c>
      <c r="O414">
        <v>14.58519814436232</v>
      </c>
      <c r="P414">
        <v>23.66724327724485</v>
      </c>
      <c r="Q414">
        <v>199.88636853448276</v>
      </c>
      <c r="R414">
        <v>32.167136770325598</v>
      </c>
    </row>
    <row r="415" spans="1:18" x14ac:dyDescent="0.25">
      <c r="A415" s="1">
        <v>45643</v>
      </c>
      <c r="B415" s="2" t="s">
        <v>27</v>
      </c>
      <c r="C415" s="2" t="s">
        <v>28</v>
      </c>
      <c r="D415" s="2" t="s">
        <v>29</v>
      </c>
      <c r="E415" s="2" t="s">
        <v>40</v>
      </c>
      <c r="F415">
        <v>226154</v>
      </c>
      <c r="G415">
        <v>6787</v>
      </c>
      <c r="H415">
        <v>1355</v>
      </c>
      <c r="I415">
        <v>775</v>
      </c>
      <c r="J415">
        <v>413</v>
      </c>
      <c r="K415">
        <v>127284.48</v>
      </c>
      <c r="L415">
        <v>3048285.96</v>
      </c>
      <c r="M415" s="2" t="s">
        <v>21</v>
      </c>
      <c r="N415">
        <v>3.0010523802364757</v>
      </c>
      <c r="O415">
        <v>18.754159422425225</v>
      </c>
      <c r="P415">
        <v>19.964638279062914</v>
      </c>
      <c r="Q415">
        <v>308.19486682808713</v>
      </c>
      <c r="R415">
        <v>23.94860677436872</v>
      </c>
    </row>
    <row r="416" spans="1:18" x14ac:dyDescent="0.25">
      <c r="A416" s="1">
        <v>45644</v>
      </c>
      <c r="B416" s="2" t="s">
        <v>27</v>
      </c>
      <c r="C416" s="2" t="s">
        <v>28</v>
      </c>
      <c r="D416" s="2" t="s">
        <v>29</v>
      </c>
      <c r="E416" s="2" t="s">
        <v>38</v>
      </c>
      <c r="F416">
        <v>65380</v>
      </c>
      <c r="G416">
        <v>3622</v>
      </c>
      <c r="H416">
        <v>886</v>
      </c>
      <c r="I416">
        <v>466</v>
      </c>
      <c r="J416">
        <v>197</v>
      </c>
      <c r="K416">
        <v>38280.769999999997</v>
      </c>
      <c r="L416">
        <v>618935.67000000004</v>
      </c>
      <c r="M416" s="2" t="s">
        <v>21</v>
      </c>
      <c r="N416">
        <v>5.5399204649739984</v>
      </c>
      <c r="O416">
        <v>10.568959138597458</v>
      </c>
      <c r="P416">
        <v>24.461623412479295</v>
      </c>
      <c r="Q416">
        <v>194.31862944162435</v>
      </c>
      <c r="R416">
        <v>16.168318192136681</v>
      </c>
    </row>
    <row r="417" spans="1:18" x14ac:dyDescent="0.25">
      <c r="A417" s="1">
        <v>45645</v>
      </c>
      <c r="B417" s="2" t="s">
        <v>27</v>
      </c>
      <c r="C417" s="2" t="s">
        <v>28</v>
      </c>
      <c r="D417" s="2" t="s">
        <v>29</v>
      </c>
      <c r="E417" s="2" t="s">
        <v>39</v>
      </c>
      <c r="F417">
        <v>64816</v>
      </c>
      <c r="G417">
        <v>4503</v>
      </c>
      <c r="H417">
        <v>783</v>
      </c>
      <c r="I417">
        <v>385</v>
      </c>
      <c r="J417">
        <v>198</v>
      </c>
      <c r="K417">
        <v>36917.17</v>
      </c>
      <c r="L417">
        <v>1292747.3500000001</v>
      </c>
      <c r="M417" s="2" t="s">
        <v>23</v>
      </c>
      <c r="N417">
        <v>6.947358676869908</v>
      </c>
      <c r="O417">
        <v>8.1983499888962914</v>
      </c>
      <c r="P417">
        <v>17.388407728181214</v>
      </c>
      <c r="Q417">
        <v>186.45035353535351</v>
      </c>
      <c r="R417">
        <v>35.017509467816744</v>
      </c>
    </row>
    <row r="418" spans="1:18" x14ac:dyDescent="0.25">
      <c r="A418" s="1">
        <v>45646</v>
      </c>
      <c r="B418" s="2" t="s">
        <v>27</v>
      </c>
      <c r="C418" s="2" t="s">
        <v>28</v>
      </c>
      <c r="D418" s="2" t="s">
        <v>29</v>
      </c>
      <c r="E418" s="2" t="s">
        <v>40</v>
      </c>
      <c r="F418">
        <v>129732</v>
      </c>
      <c r="G418">
        <v>6744</v>
      </c>
      <c r="H418">
        <v>1532</v>
      </c>
      <c r="I418">
        <v>866</v>
      </c>
      <c r="J418">
        <v>459</v>
      </c>
      <c r="K418">
        <v>59861.08</v>
      </c>
      <c r="L418">
        <v>3616448.38</v>
      </c>
      <c r="M418" s="2" t="s">
        <v>20</v>
      </c>
      <c r="N418">
        <v>5.198409027842013</v>
      </c>
      <c r="O418">
        <v>8.8761981020166072</v>
      </c>
      <c r="P418">
        <v>22.716488730723604</v>
      </c>
      <c r="Q418">
        <v>130.41629629629631</v>
      </c>
      <c r="R418">
        <v>60.41401825693756</v>
      </c>
    </row>
    <row r="419" spans="1:18" x14ac:dyDescent="0.25">
      <c r="A419" s="1">
        <v>45647</v>
      </c>
      <c r="B419" s="2" t="s">
        <v>27</v>
      </c>
      <c r="C419" s="2" t="s">
        <v>28</v>
      </c>
      <c r="D419" s="2" t="s">
        <v>29</v>
      </c>
      <c r="E419" s="2" t="s">
        <v>40</v>
      </c>
      <c r="F419">
        <v>191010</v>
      </c>
      <c r="G419">
        <v>6685</v>
      </c>
      <c r="H419">
        <v>1113</v>
      </c>
      <c r="I419">
        <v>682</v>
      </c>
      <c r="J419">
        <v>386</v>
      </c>
      <c r="K419">
        <v>84242.54</v>
      </c>
      <c r="L419">
        <v>2143080.9500000002</v>
      </c>
      <c r="M419" s="2" t="s">
        <v>21</v>
      </c>
      <c r="N419">
        <v>3.4998167635202346</v>
      </c>
      <c r="O419">
        <v>12.601726252804786</v>
      </c>
      <c r="P419">
        <v>16.649214659685864</v>
      </c>
      <c r="Q419">
        <v>218.24492227979272</v>
      </c>
      <c r="R419">
        <v>25.439415169580599</v>
      </c>
    </row>
    <row r="420" spans="1:18" x14ac:dyDescent="0.25">
      <c r="A420" s="1">
        <v>45648</v>
      </c>
      <c r="B420" s="2" t="s">
        <v>27</v>
      </c>
      <c r="C420" s="2" t="s">
        <v>28</v>
      </c>
      <c r="D420" s="2" t="s">
        <v>29</v>
      </c>
      <c r="E420" s="2" t="s">
        <v>39</v>
      </c>
      <c r="F420">
        <v>68302</v>
      </c>
      <c r="G420">
        <v>2222</v>
      </c>
      <c r="H420">
        <v>383</v>
      </c>
      <c r="I420">
        <v>243</v>
      </c>
      <c r="J420">
        <v>139</v>
      </c>
      <c r="K420">
        <v>55070.2</v>
      </c>
      <c r="L420">
        <v>866752.39</v>
      </c>
      <c r="M420" s="2" t="s">
        <v>19</v>
      </c>
      <c r="N420">
        <v>3.2531990278469154</v>
      </c>
      <c r="O420">
        <v>24.784068406840682</v>
      </c>
      <c r="P420">
        <v>17.236723672367237</v>
      </c>
      <c r="Q420">
        <v>396.18848920863309</v>
      </c>
      <c r="R420">
        <v>15.739045618138304</v>
      </c>
    </row>
    <row r="421" spans="1:18" x14ac:dyDescent="0.25">
      <c r="A421" s="1">
        <v>45649</v>
      </c>
      <c r="B421" s="2" t="s">
        <v>27</v>
      </c>
      <c r="C421" s="2" t="s">
        <v>28</v>
      </c>
      <c r="D421" s="2" t="s">
        <v>29</v>
      </c>
      <c r="E421" s="2" t="s">
        <v>39</v>
      </c>
      <c r="F421">
        <v>148429</v>
      </c>
      <c r="G421">
        <v>6118</v>
      </c>
      <c r="H421">
        <v>1413</v>
      </c>
      <c r="I421">
        <v>782</v>
      </c>
      <c r="J421">
        <v>344</v>
      </c>
      <c r="K421">
        <v>93856.35</v>
      </c>
      <c r="L421">
        <v>1316377.6200000001</v>
      </c>
      <c r="M421" s="2" t="s">
        <v>20</v>
      </c>
      <c r="N421">
        <v>4.1218360293473655</v>
      </c>
      <c r="O421">
        <v>15.341018306636157</v>
      </c>
      <c r="P421">
        <v>23.095782935599871</v>
      </c>
      <c r="Q421">
        <v>272.83822674418604</v>
      </c>
      <c r="R421">
        <v>14.025450808602722</v>
      </c>
    </row>
    <row r="422" spans="1:18" x14ac:dyDescent="0.25">
      <c r="A422" s="1">
        <v>45650</v>
      </c>
      <c r="B422" s="2" t="s">
        <v>27</v>
      </c>
      <c r="C422" s="2" t="s">
        <v>28</v>
      </c>
      <c r="D422" s="2" t="s">
        <v>29</v>
      </c>
      <c r="E422" s="2" t="s">
        <v>39</v>
      </c>
      <c r="F422">
        <v>130005</v>
      </c>
      <c r="G422">
        <v>7572</v>
      </c>
      <c r="H422">
        <v>1183</v>
      </c>
      <c r="I422">
        <v>758</v>
      </c>
      <c r="J422">
        <v>342</v>
      </c>
      <c r="K422">
        <v>52249.34</v>
      </c>
      <c r="L422">
        <v>2407660.84</v>
      </c>
      <c r="M422" s="2" t="s">
        <v>23</v>
      </c>
      <c r="N422">
        <v>5.8243913695627096</v>
      </c>
      <c r="O422">
        <v>6.9003354463814048</v>
      </c>
      <c r="P422">
        <v>15.623349181193872</v>
      </c>
      <c r="Q422">
        <v>152.77584795321636</v>
      </c>
      <c r="R422">
        <v>46.080215367313734</v>
      </c>
    </row>
    <row r="423" spans="1:18" x14ac:dyDescent="0.25">
      <c r="A423" s="1">
        <v>45651</v>
      </c>
      <c r="B423" s="2" t="s">
        <v>27</v>
      </c>
      <c r="C423" s="2" t="s">
        <v>28</v>
      </c>
      <c r="D423" s="2" t="s">
        <v>29</v>
      </c>
      <c r="E423" s="2" t="s">
        <v>40</v>
      </c>
      <c r="F423">
        <v>188671</v>
      </c>
      <c r="G423">
        <v>14836</v>
      </c>
      <c r="H423">
        <v>3690</v>
      </c>
      <c r="I423">
        <v>2154</v>
      </c>
      <c r="J423">
        <v>921</v>
      </c>
      <c r="K423">
        <v>187239.3</v>
      </c>
      <c r="L423">
        <v>5745146.2000000002</v>
      </c>
      <c r="M423" s="2" t="s">
        <v>19</v>
      </c>
      <c r="N423">
        <v>7.8634236316127009</v>
      </c>
      <c r="O423">
        <v>12.620605284443245</v>
      </c>
      <c r="P423">
        <v>24.871933135616072</v>
      </c>
      <c r="Q423">
        <v>203.29999999999998</v>
      </c>
      <c r="R423">
        <v>30.683441991077732</v>
      </c>
    </row>
    <row r="424" spans="1:18" x14ac:dyDescent="0.25">
      <c r="A424" s="1">
        <v>45652</v>
      </c>
      <c r="B424" s="2" t="s">
        <v>27</v>
      </c>
      <c r="C424" s="2" t="s">
        <v>28</v>
      </c>
      <c r="D424" s="2" t="s">
        <v>29</v>
      </c>
      <c r="E424" s="2" t="s">
        <v>39</v>
      </c>
      <c r="F424">
        <v>210372</v>
      </c>
      <c r="G424">
        <v>8399</v>
      </c>
      <c r="H424">
        <v>1694</v>
      </c>
      <c r="I424">
        <v>973</v>
      </c>
      <c r="J424">
        <v>468</v>
      </c>
      <c r="K424">
        <v>119550.69</v>
      </c>
      <c r="L424">
        <v>3244204.25</v>
      </c>
      <c r="M424" s="2" t="s">
        <v>23</v>
      </c>
      <c r="N424">
        <v>3.9924514669252567</v>
      </c>
      <c r="O424">
        <v>14.233919514227885</v>
      </c>
      <c r="P424">
        <v>20.169067746160259</v>
      </c>
      <c r="Q424">
        <v>255.4501923076923</v>
      </c>
      <c r="R424">
        <v>27.136641787680187</v>
      </c>
    </row>
    <row r="425" spans="1:18" x14ac:dyDescent="0.25">
      <c r="A425" s="1">
        <v>45653</v>
      </c>
      <c r="B425" s="2" t="s">
        <v>27</v>
      </c>
      <c r="C425" s="2" t="s">
        <v>28</v>
      </c>
      <c r="D425" s="2" t="s">
        <v>29</v>
      </c>
      <c r="E425" s="2" t="s">
        <v>38</v>
      </c>
      <c r="F425">
        <v>242821</v>
      </c>
      <c r="G425">
        <v>11287</v>
      </c>
      <c r="H425">
        <v>2295</v>
      </c>
      <c r="I425">
        <v>1202</v>
      </c>
      <c r="J425">
        <v>698</v>
      </c>
      <c r="K425">
        <v>99352.03</v>
      </c>
      <c r="L425">
        <v>4449421.0999999996</v>
      </c>
      <c r="M425" s="2" t="s">
        <v>22</v>
      </c>
      <c r="N425">
        <v>4.648280008730711</v>
      </c>
      <c r="O425">
        <v>8.8023416319659784</v>
      </c>
      <c r="P425">
        <v>20.333126605829715</v>
      </c>
      <c r="Q425">
        <v>142.33815186246417</v>
      </c>
      <c r="R425">
        <v>44.784400479788886</v>
      </c>
    </row>
    <row r="426" spans="1:18" x14ac:dyDescent="0.25">
      <c r="A426" s="1">
        <v>45654</v>
      </c>
      <c r="B426" s="2" t="s">
        <v>27</v>
      </c>
      <c r="C426" s="2" t="s">
        <v>28</v>
      </c>
      <c r="D426" s="2" t="s">
        <v>29</v>
      </c>
      <c r="E426" s="2" t="s">
        <v>39</v>
      </c>
      <c r="F426">
        <v>203553</v>
      </c>
      <c r="G426">
        <v>16070</v>
      </c>
      <c r="H426">
        <v>3160</v>
      </c>
      <c r="I426">
        <v>1749</v>
      </c>
      <c r="J426">
        <v>804</v>
      </c>
      <c r="K426">
        <v>85165.18</v>
      </c>
      <c r="L426">
        <v>4136749.5</v>
      </c>
      <c r="M426" s="2" t="s">
        <v>19</v>
      </c>
      <c r="N426">
        <v>7.8947497703300851</v>
      </c>
      <c r="O426">
        <v>5.2996378344741748</v>
      </c>
      <c r="P426">
        <v>19.663970130678283</v>
      </c>
      <c r="Q426">
        <v>105.92684079601989</v>
      </c>
      <c r="R426">
        <v>48.573249067283136</v>
      </c>
    </row>
    <row r="427" spans="1:18" x14ac:dyDescent="0.25">
      <c r="A427" s="1">
        <v>45655</v>
      </c>
      <c r="B427" s="2" t="s">
        <v>27</v>
      </c>
      <c r="C427" s="2" t="s">
        <v>28</v>
      </c>
      <c r="D427" s="2" t="s">
        <v>29</v>
      </c>
      <c r="E427" s="2" t="s">
        <v>38</v>
      </c>
      <c r="F427">
        <v>76603</v>
      </c>
      <c r="G427">
        <v>5356</v>
      </c>
      <c r="H427">
        <v>1267</v>
      </c>
      <c r="I427">
        <v>651</v>
      </c>
      <c r="J427">
        <v>332</v>
      </c>
      <c r="K427">
        <v>45529.69</v>
      </c>
      <c r="L427">
        <v>1938587.1</v>
      </c>
      <c r="M427" s="2" t="s">
        <v>19</v>
      </c>
      <c r="N427">
        <v>6.9918932678876802</v>
      </c>
      <c r="O427">
        <v>8.5006889469753553</v>
      </c>
      <c r="P427">
        <v>23.655713218820015</v>
      </c>
      <c r="Q427">
        <v>137.13762048192771</v>
      </c>
      <c r="R427">
        <v>42.578526232003775</v>
      </c>
    </row>
    <row r="428" spans="1:18" x14ac:dyDescent="0.25">
      <c r="A428" s="1">
        <v>45656</v>
      </c>
      <c r="B428" s="2" t="s">
        <v>27</v>
      </c>
      <c r="C428" s="2" t="s">
        <v>28</v>
      </c>
      <c r="D428" s="2" t="s">
        <v>29</v>
      </c>
      <c r="E428" s="2" t="s">
        <v>39</v>
      </c>
      <c r="F428">
        <v>170097</v>
      </c>
      <c r="G428">
        <v>6950</v>
      </c>
      <c r="H428">
        <v>1199</v>
      </c>
      <c r="I428">
        <v>740</v>
      </c>
      <c r="J428">
        <v>397</v>
      </c>
      <c r="K428">
        <v>123129.23</v>
      </c>
      <c r="L428">
        <v>2422516.6800000002</v>
      </c>
      <c r="M428" s="2" t="s">
        <v>23</v>
      </c>
      <c r="N428">
        <v>4.0859039254072682</v>
      </c>
      <c r="O428">
        <v>17.716435971223021</v>
      </c>
      <c r="P428">
        <v>17.25179856115108</v>
      </c>
      <c r="Q428">
        <v>310.14919395465995</v>
      </c>
      <c r="R428">
        <v>19.67458644872546</v>
      </c>
    </row>
    <row r="429" spans="1:18" x14ac:dyDescent="0.25">
      <c r="A429" s="1">
        <v>45657</v>
      </c>
      <c r="B429" s="2" t="s">
        <v>27</v>
      </c>
      <c r="C429" s="2" t="s">
        <v>28</v>
      </c>
      <c r="D429" s="2" t="s">
        <v>29</v>
      </c>
      <c r="E429" s="2" t="s">
        <v>39</v>
      </c>
      <c r="F429">
        <v>131701</v>
      </c>
      <c r="G429">
        <v>9179</v>
      </c>
      <c r="H429">
        <v>1437</v>
      </c>
      <c r="I429">
        <v>927</v>
      </c>
      <c r="J429">
        <v>505</v>
      </c>
      <c r="K429">
        <v>59393.39</v>
      </c>
      <c r="L429">
        <v>3247013.45</v>
      </c>
      <c r="M429" s="2" t="s">
        <v>22</v>
      </c>
      <c r="N429">
        <v>6.9695750222093986</v>
      </c>
      <c r="O429">
        <v>6.4705730471728948</v>
      </c>
      <c r="P429">
        <v>15.655300141627629</v>
      </c>
      <c r="Q429">
        <v>117.61067326732673</v>
      </c>
      <c r="R429">
        <v>54.669609698991763</v>
      </c>
    </row>
    <row r="430" spans="1:18" x14ac:dyDescent="0.25">
      <c r="A430" s="1">
        <v>45658</v>
      </c>
      <c r="B430" s="2" t="s">
        <v>30</v>
      </c>
      <c r="C430" s="2" t="s">
        <v>31</v>
      </c>
      <c r="D430" s="2" t="s">
        <v>32</v>
      </c>
      <c r="E430" s="2" t="s">
        <v>39</v>
      </c>
      <c r="F430">
        <v>279530</v>
      </c>
      <c r="G430">
        <v>19894</v>
      </c>
      <c r="H430">
        <v>3599</v>
      </c>
      <c r="I430">
        <v>2203</v>
      </c>
      <c r="J430">
        <v>1218</v>
      </c>
      <c r="K430">
        <v>273389.71999999997</v>
      </c>
      <c r="L430">
        <v>8583247.3000000007</v>
      </c>
      <c r="M430" s="2" t="s">
        <v>23</v>
      </c>
      <c r="N430">
        <v>7.1169463027224271</v>
      </c>
      <c r="O430">
        <v>13.742320297577157</v>
      </c>
      <c r="P430">
        <v>18.090881672866193</v>
      </c>
      <c r="Q430">
        <v>224.45789819376023</v>
      </c>
      <c r="R430">
        <v>31.395647575922027</v>
      </c>
    </row>
    <row r="431" spans="1:18" x14ac:dyDescent="0.25">
      <c r="A431" s="1">
        <v>45659</v>
      </c>
      <c r="B431" s="2" t="s">
        <v>30</v>
      </c>
      <c r="C431" s="2" t="s">
        <v>31</v>
      </c>
      <c r="D431" s="2" t="s">
        <v>32</v>
      </c>
      <c r="E431" s="2" t="s">
        <v>38</v>
      </c>
      <c r="F431">
        <v>107357</v>
      </c>
      <c r="G431">
        <v>3850</v>
      </c>
      <c r="H431">
        <v>660</v>
      </c>
      <c r="I431">
        <v>404</v>
      </c>
      <c r="J431">
        <v>170</v>
      </c>
      <c r="K431">
        <v>64297.75</v>
      </c>
      <c r="L431">
        <v>639111.06000000006</v>
      </c>
      <c r="M431" s="2" t="s">
        <v>19</v>
      </c>
      <c r="N431">
        <v>3.5861657833210687</v>
      </c>
      <c r="O431">
        <v>16.700714285714287</v>
      </c>
      <c r="P431">
        <v>17.142857142857142</v>
      </c>
      <c r="Q431">
        <v>378.22205882352944</v>
      </c>
      <c r="R431">
        <v>9.9398666360798007</v>
      </c>
    </row>
    <row r="432" spans="1:18" x14ac:dyDescent="0.25">
      <c r="A432" s="1">
        <v>45660</v>
      </c>
      <c r="B432" s="2" t="s">
        <v>30</v>
      </c>
      <c r="C432" s="2" t="s">
        <v>31</v>
      </c>
      <c r="D432" s="2" t="s">
        <v>32</v>
      </c>
      <c r="E432" s="2" t="s">
        <v>40</v>
      </c>
      <c r="F432">
        <v>234568</v>
      </c>
      <c r="G432">
        <v>11507</v>
      </c>
      <c r="H432">
        <v>2233</v>
      </c>
      <c r="I432">
        <v>1415</v>
      </c>
      <c r="J432">
        <v>677</v>
      </c>
      <c r="K432">
        <v>228209.58</v>
      </c>
      <c r="L432">
        <v>3116134.9</v>
      </c>
      <c r="M432" s="2" t="s">
        <v>19</v>
      </c>
      <c r="N432">
        <v>4.9056137239521158</v>
      </c>
      <c r="O432">
        <v>19.832239506387417</v>
      </c>
      <c r="P432">
        <v>19.405579212653169</v>
      </c>
      <c r="Q432">
        <v>337.08948301329394</v>
      </c>
      <c r="R432">
        <v>13.65470678312453</v>
      </c>
    </row>
    <row r="433" spans="1:18" x14ac:dyDescent="0.25">
      <c r="A433" s="1">
        <v>45661</v>
      </c>
      <c r="B433" s="2" t="s">
        <v>30</v>
      </c>
      <c r="C433" s="2" t="s">
        <v>31</v>
      </c>
      <c r="D433" s="2" t="s">
        <v>32</v>
      </c>
      <c r="E433" s="2" t="s">
        <v>40</v>
      </c>
      <c r="F433">
        <v>118873</v>
      </c>
      <c r="G433">
        <v>6602</v>
      </c>
      <c r="H433">
        <v>1257</v>
      </c>
      <c r="I433">
        <v>706</v>
      </c>
      <c r="J433">
        <v>337</v>
      </c>
      <c r="K433">
        <v>88250.44</v>
      </c>
      <c r="L433">
        <v>1510928.16</v>
      </c>
      <c r="M433" s="2" t="s">
        <v>19</v>
      </c>
      <c r="N433">
        <v>5.5538263524938385</v>
      </c>
      <c r="O433">
        <v>13.367228112693123</v>
      </c>
      <c r="P433">
        <v>19.039684943956377</v>
      </c>
      <c r="Q433">
        <v>261.87074183976262</v>
      </c>
      <c r="R433">
        <v>17.120913618107739</v>
      </c>
    </row>
    <row r="434" spans="1:18" x14ac:dyDescent="0.25">
      <c r="A434" s="1">
        <v>45662</v>
      </c>
      <c r="B434" s="2" t="s">
        <v>30</v>
      </c>
      <c r="C434" s="2" t="s">
        <v>31</v>
      </c>
      <c r="D434" s="2" t="s">
        <v>32</v>
      </c>
      <c r="E434" s="2" t="s">
        <v>39</v>
      </c>
      <c r="F434">
        <v>65935</v>
      </c>
      <c r="G434">
        <v>3337</v>
      </c>
      <c r="H434">
        <v>635</v>
      </c>
      <c r="I434">
        <v>299</v>
      </c>
      <c r="J434">
        <v>144</v>
      </c>
      <c r="K434">
        <v>33688.76</v>
      </c>
      <c r="L434">
        <v>618176.80000000005</v>
      </c>
      <c r="M434" s="2" t="s">
        <v>22</v>
      </c>
      <c r="N434">
        <v>5.0610449685296128</v>
      </c>
      <c r="O434">
        <v>10.09552292478274</v>
      </c>
      <c r="P434">
        <v>19.029068025172311</v>
      </c>
      <c r="Q434">
        <v>233.94972222222225</v>
      </c>
      <c r="R434">
        <v>18.349645401018027</v>
      </c>
    </row>
    <row r="435" spans="1:18" x14ac:dyDescent="0.25">
      <c r="A435" s="1">
        <v>45663</v>
      </c>
      <c r="B435" s="2" t="s">
        <v>30</v>
      </c>
      <c r="C435" s="2" t="s">
        <v>31</v>
      </c>
      <c r="D435" s="2" t="s">
        <v>32</v>
      </c>
      <c r="E435" s="2" t="s">
        <v>40</v>
      </c>
      <c r="F435">
        <v>98052</v>
      </c>
      <c r="G435">
        <v>5653</v>
      </c>
      <c r="H435">
        <v>1278</v>
      </c>
      <c r="I435">
        <v>620</v>
      </c>
      <c r="J435">
        <v>365</v>
      </c>
      <c r="K435">
        <v>66527.789999999994</v>
      </c>
      <c r="L435">
        <v>2071736.22</v>
      </c>
      <c r="M435" s="2" t="s">
        <v>21</v>
      </c>
      <c r="N435">
        <v>5.765308203810223</v>
      </c>
      <c r="O435">
        <v>11.768581284273836</v>
      </c>
      <c r="P435">
        <v>22.607465062798514</v>
      </c>
      <c r="Q435">
        <v>182.26791780821915</v>
      </c>
      <c r="R435">
        <v>31.140914496032412</v>
      </c>
    </row>
    <row r="436" spans="1:18" x14ac:dyDescent="0.25">
      <c r="A436" s="1">
        <v>45664</v>
      </c>
      <c r="B436" s="2" t="s">
        <v>30</v>
      </c>
      <c r="C436" s="2" t="s">
        <v>31</v>
      </c>
      <c r="D436" s="2" t="s">
        <v>32</v>
      </c>
      <c r="E436" s="2" t="s">
        <v>39</v>
      </c>
      <c r="F436">
        <v>131378</v>
      </c>
      <c r="G436">
        <v>7546</v>
      </c>
      <c r="H436">
        <v>1518</v>
      </c>
      <c r="I436">
        <v>715</v>
      </c>
      <c r="J436">
        <v>293</v>
      </c>
      <c r="K436">
        <v>83251.47</v>
      </c>
      <c r="L436">
        <v>1142012.75</v>
      </c>
      <c r="M436" s="2" t="s">
        <v>22</v>
      </c>
      <c r="N436">
        <v>5.7437318272465712</v>
      </c>
      <c r="O436">
        <v>11.032529817121654</v>
      </c>
      <c r="P436">
        <v>20.11661807580175</v>
      </c>
      <c r="Q436">
        <v>284.13470989761095</v>
      </c>
      <c r="R436">
        <v>13.7176286496803</v>
      </c>
    </row>
    <row r="437" spans="1:18" x14ac:dyDescent="0.25">
      <c r="A437" s="1">
        <v>45665</v>
      </c>
      <c r="B437" s="2" t="s">
        <v>30</v>
      </c>
      <c r="C437" s="2" t="s">
        <v>31</v>
      </c>
      <c r="D437" s="2" t="s">
        <v>32</v>
      </c>
      <c r="E437" s="2" t="s">
        <v>39</v>
      </c>
      <c r="F437">
        <v>262420</v>
      </c>
      <c r="G437">
        <v>14446</v>
      </c>
      <c r="H437">
        <v>3479</v>
      </c>
      <c r="I437">
        <v>2040</v>
      </c>
      <c r="J437">
        <v>966</v>
      </c>
      <c r="K437">
        <v>119191.61</v>
      </c>
      <c r="L437">
        <v>6335108.8300000001</v>
      </c>
      <c r="M437" s="2" t="s">
        <v>19</v>
      </c>
      <c r="N437">
        <v>5.5049157838579372</v>
      </c>
      <c r="O437">
        <v>8.2508382943375338</v>
      </c>
      <c r="P437">
        <v>24.082791084037105</v>
      </c>
      <c r="Q437">
        <v>123.38675983436853</v>
      </c>
      <c r="R437">
        <v>53.150627212771099</v>
      </c>
    </row>
    <row r="438" spans="1:18" x14ac:dyDescent="0.25">
      <c r="A438" s="1">
        <v>45666</v>
      </c>
      <c r="B438" s="2" t="s">
        <v>30</v>
      </c>
      <c r="C438" s="2" t="s">
        <v>31</v>
      </c>
      <c r="D438" s="2" t="s">
        <v>32</v>
      </c>
      <c r="E438" s="2" t="s">
        <v>40</v>
      </c>
      <c r="F438">
        <v>153266</v>
      </c>
      <c r="G438">
        <v>6717</v>
      </c>
      <c r="H438">
        <v>1640</v>
      </c>
      <c r="I438">
        <v>966</v>
      </c>
      <c r="J438">
        <v>430</v>
      </c>
      <c r="K438">
        <v>153149.87</v>
      </c>
      <c r="L438">
        <v>2013145.18</v>
      </c>
      <c r="M438" s="2" t="s">
        <v>22</v>
      </c>
      <c r="N438">
        <v>4.3825766967233433</v>
      </c>
      <c r="O438">
        <v>22.800337948488909</v>
      </c>
      <c r="P438">
        <v>24.415661753759117</v>
      </c>
      <c r="Q438">
        <v>356.16248837209304</v>
      </c>
      <c r="R438">
        <v>13.144935611110869</v>
      </c>
    </row>
    <row r="439" spans="1:18" x14ac:dyDescent="0.25">
      <c r="A439" s="1">
        <v>45667</v>
      </c>
      <c r="B439" s="2" t="s">
        <v>30</v>
      </c>
      <c r="C439" s="2" t="s">
        <v>31</v>
      </c>
      <c r="D439" s="2" t="s">
        <v>32</v>
      </c>
      <c r="E439" s="2" t="s">
        <v>39</v>
      </c>
      <c r="F439">
        <v>70209</v>
      </c>
      <c r="G439">
        <v>2239</v>
      </c>
      <c r="H439">
        <v>511</v>
      </c>
      <c r="I439">
        <v>331</v>
      </c>
      <c r="J439">
        <v>185</v>
      </c>
      <c r="K439">
        <v>54632.02</v>
      </c>
      <c r="L439">
        <v>1173022.8899999999</v>
      </c>
      <c r="M439" s="2" t="s">
        <v>23</v>
      </c>
      <c r="N439">
        <v>3.1890498369154954</v>
      </c>
      <c r="O439">
        <v>24.400187583742742</v>
      </c>
      <c r="P439">
        <v>22.822688700312639</v>
      </c>
      <c r="Q439">
        <v>295.30821621621618</v>
      </c>
      <c r="R439">
        <v>21.471343911500984</v>
      </c>
    </row>
    <row r="440" spans="1:18" x14ac:dyDescent="0.25">
      <c r="A440" s="1">
        <v>45668</v>
      </c>
      <c r="B440" s="2" t="s">
        <v>30</v>
      </c>
      <c r="C440" s="2" t="s">
        <v>31</v>
      </c>
      <c r="D440" s="2" t="s">
        <v>32</v>
      </c>
      <c r="E440" s="2" t="s">
        <v>39</v>
      </c>
      <c r="F440">
        <v>125823</v>
      </c>
      <c r="G440">
        <v>6100</v>
      </c>
      <c r="H440">
        <v>1244</v>
      </c>
      <c r="I440">
        <v>598</v>
      </c>
      <c r="J440">
        <v>263</v>
      </c>
      <c r="K440">
        <v>78509.289999999994</v>
      </c>
      <c r="L440">
        <v>1955712.94</v>
      </c>
      <c r="M440" s="2" t="s">
        <v>23</v>
      </c>
      <c r="N440">
        <v>4.8480802397018037</v>
      </c>
      <c r="O440">
        <v>12.870375409836065</v>
      </c>
      <c r="P440">
        <v>20.393442622950818</v>
      </c>
      <c r="Q440">
        <v>298.51441064638783</v>
      </c>
      <c r="R440">
        <v>24.910592619039097</v>
      </c>
    </row>
    <row r="441" spans="1:18" x14ac:dyDescent="0.25">
      <c r="A441" s="1">
        <v>45669</v>
      </c>
      <c r="B441" s="2" t="s">
        <v>30</v>
      </c>
      <c r="C441" s="2" t="s">
        <v>31</v>
      </c>
      <c r="D441" s="2" t="s">
        <v>32</v>
      </c>
      <c r="E441" s="2" t="s">
        <v>40</v>
      </c>
      <c r="F441">
        <v>203716</v>
      </c>
      <c r="G441">
        <v>6420</v>
      </c>
      <c r="H441">
        <v>1047</v>
      </c>
      <c r="I441">
        <v>499</v>
      </c>
      <c r="J441">
        <v>199</v>
      </c>
      <c r="K441">
        <v>165278.22</v>
      </c>
      <c r="L441">
        <v>840797.82</v>
      </c>
      <c r="M441" s="2" t="s">
        <v>19</v>
      </c>
      <c r="N441">
        <v>3.151446130888099</v>
      </c>
      <c r="O441">
        <v>25.744271028037382</v>
      </c>
      <c r="P441">
        <v>16.308411214953271</v>
      </c>
      <c r="Q441">
        <v>830.54381909547737</v>
      </c>
      <c r="R441">
        <v>5.087166476018437</v>
      </c>
    </row>
    <row r="442" spans="1:18" x14ac:dyDescent="0.25">
      <c r="A442" s="1">
        <v>45670</v>
      </c>
      <c r="B442" s="2" t="s">
        <v>30</v>
      </c>
      <c r="C442" s="2" t="s">
        <v>31</v>
      </c>
      <c r="D442" s="2" t="s">
        <v>32</v>
      </c>
      <c r="E442" s="2" t="s">
        <v>39</v>
      </c>
      <c r="F442">
        <v>146482</v>
      </c>
      <c r="G442">
        <v>4711</v>
      </c>
      <c r="H442">
        <v>931</v>
      </c>
      <c r="I442">
        <v>572</v>
      </c>
      <c r="J442">
        <v>338</v>
      </c>
      <c r="K442">
        <v>141930.1</v>
      </c>
      <c r="L442">
        <v>2174371.9300000002</v>
      </c>
      <c r="M442" s="2" t="s">
        <v>20</v>
      </c>
      <c r="N442">
        <v>3.2160948102838574</v>
      </c>
      <c r="O442">
        <v>30.127382721290598</v>
      </c>
      <c r="P442">
        <v>19.762258543833582</v>
      </c>
      <c r="Q442">
        <v>419.9115384615385</v>
      </c>
      <c r="R442">
        <v>15.320019713929604</v>
      </c>
    </row>
    <row r="443" spans="1:18" x14ac:dyDescent="0.25">
      <c r="A443" s="1">
        <v>45671</v>
      </c>
      <c r="B443" s="2" t="s">
        <v>30</v>
      </c>
      <c r="C443" s="2" t="s">
        <v>31</v>
      </c>
      <c r="D443" s="2" t="s">
        <v>32</v>
      </c>
      <c r="E443" s="2" t="s">
        <v>39</v>
      </c>
      <c r="F443">
        <v>266480</v>
      </c>
      <c r="G443">
        <v>8507</v>
      </c>
      <c r="H443">
        <v>1449</v>
      </c>
      <c r="I443">
        <v>740</v>
      </c>
      <c r="J443">
        <v>346</v>
      </c>
      <c r="K443">
        <v>179057.44</v>
      </c>
      <c r="L443">
        <v>2625757.6800000002</v>
      </c>
      <c r="M443" s="2" t="s">
        <v>22</v>
      </c>
      <c r="N443">
        <v>3.1923596517562292</v>
      </c>
      <c r="O443">
        <v>21.048247325731751</v>
      </c>
      <c r="P443">
        <v>17.033031621017987</v>
      </c>
      <c r="Q443">
        <v>517.50705202312145</v>
      </c>
      <c r="R443">
        <v>14.664331624533446</v>
      </c>
    </row>
    <row r="444" spans="1:18" x14ac:dyDescent="0.25">
      <c r="A444" s="1">
        <v>45672</v>
      </c>
      <c r="B444" s="2" t="s">
        <v>30</v>
      </c>
      <c r="C444" s="2" t="s">
        <v>31</v>
      </c>
      <c r="D444" s="2" t="s">
        <v>32</v>
      </c>
      <c r="E444" s="2" t="s">
        <v>39</v>
      </c>
      <c r="F444">
        <v>119877</v>
      </c>
      <c r="G444">
        <v>5157</v>
      </c>
      <c r="H444">
        <v>853</v>
      </c>
      <c r="I444">
        <v>489</v>
      </c>
      <c r="J444">
        <v>196</v>
      </c>
      <c r="K444">
        <v>55662.12</v>
      </c>
      <c r="L444">
        <v>601879.73</v>
      </c>
      <c r="M444" s="2" t="s">
        <v>21</v>
      </c>
      <c r="N444">
        <v>4.3019094571936236</v>
      </c>
      <c r="O444">
        <v>10.793507853403142</v>
      </c>
      <c r="P444">
        <v>16.540624394027535</v>
      </c>
      <c r="Q444">
        <v>283.99040816326533</v>
      </c>
      <c r="R444">
        <v>10.813093895812807</v>
      </c>
    </row>
    <row r="445" spans="1:18" x14ac:dyDescent="0.25">
      <c r="A445" s="1">
        <v>45673</v>
      </c>
      <c r="B445" s="2" t="s">
        <v>30</v>
      </c>
      <c r="C445" s="2" t="s">
        <v>31</v>
      </c>
      <c r="D445" s="2" t="s">
        <v>32</v>
      </c>
      <c r="E445" s="2" t="s">
        <v>40</v>
      </c>
      <c r="F445">
        <v>258617</v>
      </c>
      <c r="G445">
        <v>11130</v>
      </c>
      <c r="H445">
        <v>2706</v>
      </c>
      <c r="I445">
        <v>1265</v>
      </c>
      <c r="J445">
        <v>634</v>
      </c>
      <c r="K445">
        <v>220388.72</v>
      </c>
      <c r="L445">
        <v>3969227.91</v>
      </c>
      <c r="M445" s="2" t="s">
        <v>21</v>
      </c>
      <c r="N445">
        <v>4.3036613989026247</v>
      </c>
      <c r="O445">
        <v>19.801322551662174</v>
      </c>
      <c r="P445">
        <v>24.31266846361186</v>
      </c>
      <c r="Q445">
        <v>347.61627760252367</v>
      </c>
      <c r="R445">
        <v>18.010122795758331</v>
      </c>
    </row>
    <row r="446" spans="1:18" x14ac:dyDescent="0.25">
      <c r="A446" s="1">
        <v>45674</v>
      </c>
      <c r="B446" s="2" t="s">
        <v>30</v>
      </c>
      <c r="C446" s="2" t="s">
        <v>31</v>
      </c>
      <c r="D446" s="2" t="s">
        <v>32</v>
      </c>
      <c r="E446" s="2" t="s">
        <v>40</v>
      </c>
      <c r="F446">
        <v>286009</v>
      </c>
      <c r="G446">
        <v>20719</v>
      </c>
      <c r="H446">
        <v>3174</v>
      </c>
      <c r="I446">
        <v>1988</v>
      </c>
      <c r="J446">
        <v>1183</v>
      </c>
      <c r="K446">
        <v>159981.23000000001</v>
      </c>
      <c r="L446">
        <v>5016566.76</v>
      </c>
      <c r="M446" s="2" t="s">
        <v>20</v>
      </c>
      <c r="N446">
        <v>7.2441776307738568</v>
      </c>
      <c r="O446">
        <v>7.7214744920121632</v>
      </c>
      <c r="P446">
        <v>15.31927216564506</v>
      </c>
      <c r="Q446">
        <v>135.23349957734575</v>
      </c>
      <c r="R446">
        <v>31.357220843970254</v>
      </c>
    </row>
    <row r="447" spans="1:18" x14ac:dyDescent="0.25">
      <c r="A447" s="1">
        <v>45675</v>
      </c>
      <c r="B447" s="2" t="s">
        <v>30</v>
      </c>
      <c r="C447" s="2" t="s">
        <v>31</v>
      </c>
      <c r="D447" s="2" t="s">
        <v>32</v>
      </c>
      <c r="E447" s="2" t="s">
        <v>39</v>
      </c>
      <c r="F447">
        <v>143217</v>
      </c>
      <c r="G447">
        <v>6695</v>
      </c>
      <c r="H447">
        <v>1166</v>
      </c>
      <c r="I447">
        <v>607</v>
      </c>
      <c r="J447">
        <v>327</v>
      </c>
      <c r="K447">
        <v>67853.55</v>
      </c>
      <c r="L447">
        <v>1547240.6</v>
      </c>
      <c r="M447" s="2" t="s">
        <v>23</v>
      </c>
      <c r="N447">
        <v>4.6747243693136991</v>
      </c>
      <c r="O447">
        <v>10.134958924570576</v>
      </c>
      <c r="P447">
        <v>17.415982076176249</v>
      </c>
      <c r="Q447">
        <v>207.50321100917432</v>
      </c>
      <c r="R447">
        <v>22.802647761244621</v>
      </c>
    </row>
    <row r="448" spans="1:18" x14ac:dyDescent="0.25">
      <c r="A448" s="1">
        <v>45676</v>
      </c>
      <c r="B448" s="2" t="s">
        <v>30</v>
      </c>
      <c r="C448" s="2" t="s">
        <v>31</v>
      </c>
      <c r="D448" s="2" t="s">
        <v>32</v>
      </c>
      <c r="E448" s="2" t="s">
        <v>39</v>
      </c>
      <c r="F448">
        <v>72167</v>
      </c>
      <c r="G448">
        <v>3593</v>
      </c>
      <c r="H448">
        <v>602</v>
      </c>
      <c r="I448">
        <v>351</v>
      </c>
      <c r="J448">
        <v>197</v>
      </c>
      <c r="K448">
        <v>70366.31</v>
      </c>
      <c r="L448">
        <v>1134508.6499999999</v>
      </c>
      <c r="M448" s="2" t="s">
        <v>21</v>
      </c>
      <c r="N448">
        <v>4.9787298903931161</v>
      </c>
      <c r="O448">
        <v>19.584277762315612</v>
      </c>
      <c r="P448">
        <v>16.754801001948234</v>
      </c>
      <c r="Q448">
        <v>357.18939086294415</v>
      </c>
      <c r="R448">
        <v>16.122895317375601</v>
      </c>
    </row>
    <row r="449" spans="1:18" x14ac:dyDescent="0.25">
      <c r="A449" s="1">
        <v>45677</v>
      </c>
      <c r="B449" s="2" t="s">
        <v>30</v>
      </c>
      <c r="C449" s="2" t="s">
        <v>31</v>
      </c>
      <c r="D449" s="2" t="s">
        <v>32</v>
      </c>
      <c r="E449" s="2" t="s">
        <v>39</v>
      </c>
      <c r="F449">
        <v>239490</v>
      </c>
      <c r="G449">
        <v>16490</v>
      </c>
      <c r="H449">
        <v>2821</v>
      </c>
      <c r="I449">
        <v>1500</v>
      </c>
      <c r="J449">
        <v>857</v>
      </c>
      <c r="K449">
        <v>231252.5</v>
      </c>
      <c r="L449">
        <v>2591070.7400000002</v>
      </c>
      <c r="M449" s="2" t="s">
        <v>22</v>
      </c>
      <c r="N449">
        <v>6.8854649463443147</v>
      </c>
      <c r="O449">
        <v>14.023802304426926</v>
      </c>
      <c r="P449">
        <v>17.107337780473014</v>
      </c>
      <c r="Q449">
        <v>269.83955659276546</v>
      </c>
      <c r="R449">
        <v>11.204509097198951</v>
      </c>
    </row>
    <row r="450" spans="1:18" x14ac:dyDescent="0.25">
      <c r="A450" s="1">
        <v>45678</v>
      </c>
      <c r="B450" s="2" t="s">
        <v>30</v>
      </c>
      <c r="C450" s="2" t="s">
        <v>31</v>
      </c>
      <c r="D450" s="2" t="s">
        <v>32</v>
      </c>
      <c r="E450" s="2" t="s">
        <v>39</v>
      </c>
      <c r="F450">
        <v>114858</v>
      </c>
      <c r="G450">
        <v>8995</v>
      </c>
      <c r="H450">
        <v>2140</v>
      </c>
      <c r="I450">
        <v>1042</v>
      </c>
      <c r="J450">
        <v>585</v>
      </c>
      <c r="K450">
        <v>109054.25</v>
      </c>
      <c r="L450">
        <v>3742051.97</v>
      </c>
      <c r="M450" s="2" t="s">
        <v>22</v>
      </c>
      <c r="N450">
        <v>7.8314092183391661</v>
      </c>
      <c r="O450">
        <v>12.123874374652585</v>
      </c>
      <c r="P450">
        <v>23.790994997220675</v>
      </c>
      <c r="Q450">
        <v>186.41752136752137</v>
      </c>
      <c r="R450">
        <v>34.313673882494264</v>
      </c>
    </row>
    <row r="451" spans="1:18" x14ac:dyDescent="0.25">
      <c r="A451" s="1">
        <v>45679</v>
      </c>
      <c r="B451" s="2" t="s">
        <v>30</v>
      </c>
      <c r="C451" s="2" t="s">
        <v>31</v>
      </c>
      <c r="D451" s="2" t="s">
        <v>32</v>
      </c>
      <c r="E451" s="2" t="s">
        <v>40</v>
      </c>
      <c r="F451">
        <v>287469</v>
      </c>
      <c r="G451">
        <v>15650</v>
      </c>
      <c r="H451">
        <v>3709</v>
      </c>
      <c r="I451">
        <v>1899</v>
      </c>
      <c r="J451">
        <v>784</v>
      </c>
      <c r="K451">
        <v>253282.64</v>
      </c>
      <c r="L451">
        <v>2874025.11</v>
      </c>
      <c r="M451" s="2" t="s">
        <v>19</v>
      </c>
      <c r="N451">
        <v>5.4440652731251022</v>
      </c>
      <c r="O451">
        <v>16.18419424920128</v>
      </c>
      <c r="P451">
        <v>23.699680511182109</v>
      </c>
      <c r="Q451">
        <v>323.06459183673473</v>
      </c>
      <c r="R451">
        <v>11.347106576273841</v>
      </c>
    </row>
    <row r="452" spans="1:18" x14ac:dyDescent="0.25">
      <c r="A452" s="1">
        <v>45680</v>
      </c>
      <c r="B452" s="2" t="s">
        <v>30</v>
      </c>
      <c r="C452" s="2" t="s">
        <v>31</v>
      </c>
      <c r="D452" s="2" t="s">
        <v>32</v>
      </c>
      <c r="E452" s="2" t="s">
        <v>39</v>
      </c>
      <c r="F452">
        <v>160382</v>
      </c>
      <c r="G452">
        <v>12822</v>
      </c>
      <c r="H452">
        <v>2675</v>
      </c>
      <c r="I452">
        <v>1467</v>
      </c>
      <c r="J452">
        <v>670</v>
      </c>
      <c r="K452">
        <v>98850.69</v>
      </c>
      <c r="L452">
        <v>3011981.4</v>
      </c>
      <c r="M452" s="2" t="s">
        <v>22</v>
      </c>
      <c r="N452">
        <v>7.9946627427017996</v>
      </c>
      <c r="O452">
        <v>7.7094595226953677</v>
      </c>
      <c r="P452">
        <v>20.862579940726874</v>
      </c>
      <c r="Q452">
        <v>147.53834328358209</v>
      </c>
      <c r="R452">
        <v>30.470008858815248</v>
      </c>
    </row>
    <row r="453" spans="1:18" x14ac:dyDescent="0.25">
      <c r="A453" s="1">
        <v>45681</v>
      </c>
      <c r="B453" s="2" t="s">
        <v>30</v>
      </c>
      <c r="C453" s="2" t="s">
        <v>31</v>
      </c>
      <c r="D453" s="2" t="s">
        <v>32</v>
      </c>
      <c r="E453" s="2" t="s">
        <v>39</v>
      </c>
      <c r="F453">
        <v>87341</v>
      </c>
      <c r="G453">
        <v>6016</v>
      </c>
      <c r="H453">
        <v>1290</v>
      </c>
      <c r="I453">
        <v>669</v>
      </c>
      <c r="J453">
        <v>315</v>
      </c>
      <c r="K453">
        <v>35138.720000000001</v>
      </c>
      <c r="L453">
        <v>2092169.31</v>
      </c>
      <c r="M453" s="2" t="s">
        <v>21</v>
      </c>
      <c r="N453">
        <v>6.8879449513973974</v>
      </c>
      <c r="O453">
        <v>5.8408776595744687</v>
      </c>
      <c r="P453">
        <v>21.44281914893617</v>
      </c>
      <c r="Q453">
        <v>111.55149206349206</v>
      </c>
      <c r="R453">
        <v>59.540282343807625</v>
      </c>
    </row>
    <row r="454" spans="1:18" x14ac:dyDescent="0.25">
      <c r="A454" s="1">
        <v>45682</v>
      </c>
      <c r="B454" s="2" t="s">
        <v>30</v>
      </c>
      <c r="C454" s="2" t="s">
        <v>31</v>
      </c>
      <c r="D454" s="2" t="s">
        <v>32</v>
      </c>
      <c r="E454" s="2" t="s">
        <v>39</v>
      </c>
      <c r="F454">
        <v>184938</v>
      </c>
      <c r="G454">
        <v>6118</v>
      </c>
      <c r="H454">
        <v>1450</v>
      </c>
      <c r="I454">
        <v>865</v>
      </c>
      <c r="J454">
        <v>478</v>
      </c>
      <c r="K454">
        <v>132226.89000000001</v>
      </c>
      <c r="L454">
        <v>1439934.34</v>
      </c>
      <c r="M454" s="2" t="s">
        <v>20</v>
      </c>
      <c r="N454">
        <v>3.3081356995317348</v>
      </c>
      <c r="O454">
        <v>21.612763975155282</v>
      </c>
      <c r="P454">
        <v>23.700555737169012</v>
      </c>
      <c r="Q454">
        <v>276.62529288702933</v>
      </c>
      <c r="R454">
        <v>10.889875274235067</v>
      </c>
    </row>
    <row r="455" spans="1:18" x14ac:dyDescent="0.25">
      <c r="A455" s="1">
        <v>45683</v>
      </c>
      <c r="B455" s="2" t="s">
        <v>30</v>
      </c>
      <c r="C455" s="2" t="s">
        <v>31</v>
      </c>
      <c r="D455" s="2" t="s">
        <v>32</v>
      </c>
      <c r="E455" s="2" t="s">
        <v>39</v>
      </c>
      <c r="F455">
        <v>63670</v>
      </c>
      <c r="G455">
        <v>3261</v>
      </c>
      <c r="H455">
        <v>779</v>
      </c>
      <c r="I455">
        <v>463</v>
      </c>
      <c r="J455">
        <v>260</v>
      </c>
      <c r="K455">
        <v>57921.04</v>
      </c>
      <c r="L455">
        <v>1810450.96</v>
      </c>
      <c r="M455" s="2" t="s">
        <v>20</v>
      </c>
      <c r="N455">
        <v>5.1217213758441966</v>
      </c>
      <c r="O455">
        <v>17.761741796994787</v>
      </c>
      <c r="P455">
        <v>23.888377798221406</v>
      </c>
      <c r="Q455">
        <v>222.77323076923076</v>
      </c>
      <c r="R455">
        <v>31.257224663093066</v>
      </c>
    </row>
    <row r="456" spans="1:18" x14ac:dyDescent="0.25">
      <c r="A456" s="1">
        <v>45684</v>
      </c>
      <c r="B456" s="2" t="s">
        <v>30</v>
      </c>
      <c r="C456" s="2" t="s">
        <v>31</v>
      </c>
      <c r="D456" s="2" t="s">
        <v>32</v>
      </c>
      <c r="E456" s="2" t="s">
        <v>38</v>
      </c>
      <c r="F456">
        <v>182711</v>
      </c>
      <c r="G456">
        <v>13431</v>
      </c>
      <c r="H456">
        <v>2341</v>
      </c>
      <c r="I456">
        <v>1427</v>
      </c>
      <c r="J456">
        <v>816</v>
      </c>
      <c r="K456">
        <v>123017.03</v>
      </c>
      <c r="L456">
        <v>5356819.38</v>
      </c>
      <c r="M456" s="2" t="s">
        <v>20</v>
      </c>
      <c r="N456">
        <v>7.3509531445835234</v>
      </c>
      <c r="O456">
        <v>9.1591862110043927</v>
      </c>
      <c r="P456">
        <v>17.42982652073561</v>
      </c>
      <c r="Q456">
        <v>150.75616421568628</v>
      </c>
      <c r="R456">
        <v>43.545347989623878</v>
      </c>
    </row>
    <row r="457" spans="1:18" x14ac:dyDescent="0.25">
      <c r="A457" s="1">
        <v>45685</v>
      </c>
      <c r="B457" s="2" t="s">
        <v>30</v>
      </c>
      <c r="C457" s="2" t="s">
        <v>31</v>
      </c>
      <c r="D457" s="2" t="s">
        <v>32</v>
      </c>
      <c r="E457" s="2" t="s">
        <v>38</v>
      </c>
      <c r="F457">
        <v>228212</v>
      </c>
      <c r="G457">
        <v>18002</v>
      </c>
      <c r="H457">
        <v>4371</v>
      </c>
      <c r="I457">
        <v>2526</v>
      </c>
      <c r="J457">
        <v>1404</v>
      </c>
      <c r="K457">
        <v>140065.29999999999</v>
      </c>
      <c r="L457">
        <v>6510695.7000000002</v>
      </c>
      <c r="M457" s="2" t="s">
        <v>23</v>
      </c>
      <c r="N457">
        <v>7.888279319229488</v>
      </c>
      <c r="O457">
        <v>7.7805410509943336</v>
      </c>
      <c r="P457">
        <v>24.280635484946117</v>
      </c>
      <c r="Q457">
        <v>99.761609686609674</v>
      </c>
      <c r="R457">
        <v>46.48328815202624</v>
      </c>
    </row>
    <row r="458" spans="1:18" x14ac:dyDescent="0.25">
      <c r="A458" s="1">
        <v>45686</v>
      </c>
      <c r="B458" s="2" t="s">
        <v>30</v>
      </c>
      <c r="C458" s="2" t="s">
        <v>31</v>
      </c>
      <c r="D458" s="2" t="s">
        <v>32</v>
      </c>
      <c r="E458" s="2" t="s">
        <v>40</v>
      </c>
      <c r="F458">
        <v>258910</v>
      </c>
      <c r="G458">
        <v>20306</v>
      </c>
      <c r="H458">
        <v>3105</v>
      </c>
      <c r="I458">
        <v>1415</v>
      </c>
      <c r="J458">
        <v>615</v>
      </c>
      <c r="K458">
        <v>196117.34</v>
      </c>
      <c r="L458">
        <v>4520782.34</v>
      </c>
      <c r="M458" s="2" t="s">
        <v>21</v>
      </c>
      <c r="N458">
        <v>7.8428797651693642</v>
      </c>
      <c r="O458">
        <v>9.6580980990840146</v>
      </c>
      <c r="P458">
        <v>15.291046981187826</v>
      </c>
      <c r="Q458">
        <v>318.88998373983742</v>
      </c>
      <c r="R458">
        <v>23.051415749367191</v>
      </c>
    </row>
    <row r="459" spans="1:18" x14ac:dyDescent="0.25">
      <c r="A459" s="1">
        <v>45687</v>
      </c>
      <c r="B459" s="2" t="s">
        <v>30</v>
      </c>
      <c r="C459" s="2" t="s">
        <v>31</v>
      </c>
      <c r="D459" s="2" t="s">
        <v>32</v>
      </c>
      <c r="E459" s="2" t="s">
        <v>38</v>
      </c>
      <c r="F459">
        <v>90143</v>
      </c>
      <c r="G459">
        <v>2803</v>
      </c>
      <c r="H459">
        <v>540</v>
      </c>
      <c r="I459">
        <v>314</v>
      </c>
      <c r="J459">
        <v>175</v>
      </c>
      <c r="K459">
        <v>40656.589999999997</v>
      </c>
      <c r="L459">
        <v>1007449.12</v>
      </c>
      <c r="M459" s="2" t="s">
        <v>22</v>
      </c>
      <c r="N459">
        <v>3.1095037884250578</v>
      </c>
      <c r="O459">
        <v>14.504669996432392</v>
      </c>
      <c r="P459">
        <v>19.265073135925796</v>
      </c>
      <c r="Q459">
        <v>232.32337142857142</v>
      </c>
      <c r="R459">
        <v>24.779479046324351</v>
      </c>
    </row>
    <row r="460" spans="1:18" x14ac:dyDescent="0.25">
      <c r="A460" s="1">
        <v>45688</v>
      </c>
      <c r="B460" s="2" t="s">
        <v>30</v>
      </c>
      <c r="C460" s="2" t="s">
        <v>31</v>
      </c>
      <c r="D460" s="2" t="s">
        <v>32</v>
      </c>
      <c r="E460" s="2" t="s">
        <v>39</v>
      </c>
      <c r="F460">
        <v>85144</v>
      </c>
      <c r="G460">
        <v>3382</v>
      </c>
      <c r="H460">
        <v>587</v>
      </c>
      <c r="I460">
        <v>296</v>
      </c>
      <c r="J460">
        <v>155</v>
      </c>
      <c r="K460">
        <v>42903.25</v>
      </c>
      <c r="L460">
        <v>564840.05000000005</v>
      </c>
      <c r="M460" s="2" t="s">
        <v>22</v>
      </c>
      <c r="N460">
        <v>3.9720943343042374</v>
      </c>
      <c r="O460">
        <v>12.685762862211709</v>
      </c>
      <c r="P460">
        <v>17.356593731519812</v>
      </c>
      <c r="Q460">
        <v>276.7951612903226</v>
      </c>
      <c r="R460">
        <v>13.165437350317285</v>
      </c>
    </row>
    <row r="461" spans="1:18" x14ac:dyDescent="0.25">
      <c r="A461" s="1">
        <v>45689</v>
      </c>
      <c r="B461" s="2" t="s">
        <v>30</v>
      </c>
      <c r="C461" s="2" t="s">
        <v>31</v>
      </c>
      <c r="D461" s="2" t="s">
        <v>32</v>
      </c>
      <c r="E461" s="2" t="s">
        <v>40</v>
      </c>
      <c r="F461">
        <v>247492</v>
      </c>
      <c r="G461">
        <v>18132</v>
      </c>
      <c r="H461">
        <v>4384</v>
      </c>
      <c r="I461">
        <v>2710</v>
      </c>
      <c r="J461">
        <v>1613</v>
      </c>
      <c r="K461">
        <v>189072.19</v>
      </c>
      <c r="L461">
        <v>6367802.4699999997</v>
      </c>
      <c r="M461" s="2" t="s">
        <v>21</v>
      </c>
      <c r="N461">
        <v>7.3262974156740421</v>
      </c>
      <c r="O461">
        <v>10.42754191484668</v>
      </c>
      <c r="P461">
        <v>24.17824840061769</v>
      </c>
      <c r="Q461">
        <v>117.21772473651581</v>
      </c>
      <c r="R461">
        <v>33.679212527236288</v>
      </c>
    </row>
    <row r="462" spans="1:18" x14ac:dyDescent="0.25">
      <c r="A462" s="1">
        <v>45690</v>
      </c>
      <c r="B462" s="2" t="s">
        <v>30</v>
      </c>
      <c r="C462" s="2" t="s">
        <v>31</v>
      </c>
      <c r="D462" s="2" t="s">
        <v>32</v>
      </c>
      <c r="E462" s="2" t="s">
        <v>40</v>
      </c>
      <c r="F462">
        <v>131901</v>
      </c>
      <c r="G462">
        <v>8460</v>
      </c>
      <c r="H462">
        <v>1385</v>
      </c>
      <c r="I462">
        <v>816</v>
      </c>
      <c r="J462">
        <v>412</v>
      </c>
      <c r="K462">
        <v>123943.03</v>
      </c>
      <c r="L462">
        <v>2536624.06</v>
      </c>
      <c r="M462" s="2" t="s">
        <v>21</v>
      </c>
      <c r="N462">
        <v>6.4139013350922287</v>
      </c>
      <c r="O462">
        <v>14.650476359338061</v>
      </c>
      <c r="P462">
        <v>16.371158392434985</v>
      </c>
      <c r="Q462">
        <v>300.83259708737864</v>
      </c>
      <c r="R462">
        <v>20.466048474044889</v>
      </c>
    </row>
    <row r="463" spans="1:18" x14ac:dyDescent="0.25">
      <c r="A463" s="1">
        <v>45691</v>
      </c>
      <c r="B463" s="2" t="s">
        <v>30</v>
      </c>
      <c r="C463" s="2" t="s">
        <v>31</v>
      </c>
      <c r="D463" s="2" t="s">
        <v>32</v>
      </c>
      <c r="E463" s="2" t="s">
        <v>40</v>
      </c>
      <c r="F463">
        <v>228466</v>
      </c>
      <c r="G463">
        <v>8425</v>
      </c>
      <c r="H463">
        <v>1286</v>
      </c>
      <c r="I463">
        <v>782</v>
      </c>
      <c r="J463">
        <v>385</v>
      </c>
      <c r="K463">
        <v>169210.25</v>
      </c>
      <c r="L463">
        <v>1194707.96</v>
      </c>
      <c r="M463" s="2" t="s">
        <v>21</v>
      </c>
      <c r="N463">
        <v>3.6876384232227117</v>
      </c>
      <c r="O463">
        <v>20.084302670623146</v>
      </c>
      <c r="P463">
        <v>15.264094955489615</v>
      </c>
      <c r="Q463">
        <v>439.50714285714287</v>
      </c>
      <c r="R463">
        <v>7.0604940303557262</v>
      </c>
    </row>
    <row r="464" spans="1:18" x14ac:dyDescent="0.25">
      <c r="A464" s="1">
        <v>45692</v>
      </c>
      <c r="B464" s="2" t="s">
        <v>30</v>
      </c>
      <c r="C464" s="2" t="s">
        <v>31</v>
      </c>
      <c r="D464" s="2" t="s">
        <v>32</v>
      </c>
      <c r="E464" s="2" t="s">
        <v>38</v>
      </c>
      <c r="F464">
        <v>224736</v>
      </c>
      <c r="G464">
        <v>14914</v>
      </c>
      <c r="H464">
        <v>3722</v>
      </c>
      <c r="I464">
        <v>2167</v>
      </c>
      <c r="J464">
        <v>1264</v>
      </c>
      <c r="K464">
        <v>217968.09</v>
      </c>
      <c r="L464">
        <v>3957313.4</v>
      </c>
      <c r="M464" s="2" t="s">
        <v>19</v>
      </c>
      <c r="N464">
        <v>6.6362309554321515</v>
      </c>
      <c r="O464">
        <v>14.614998658978141</v>
      </c>
      <c r="P464">
        <v>24.956416789593671</v>
      </c>
      <c r="Q464">
        <v>172.44310917721518</v>
      </c>
      <c r="R464">
        <v>18.155471289398371</v>
      </c>
    </row>
    <row r="465" spans="1:18" x14ac:dyDescent="0.25">
      <c r="A465" s="1">
        <v>45693</v>
      </c>
      <c r="B465" s="2" t="s">
        <v>30</v>
      </c>
      <c r="C465" s="2" t="s">
        <v>31</v>
      </c>
      <c r="D465" s="2" t="s">
        <v>32</v>
      </c>
      <c r="E465" s="2" t="s">
        <v>40</v>
      </c>
      <c r="F465">
        <v>169022</v>
      </c>
      <c r="G465">
        <v>13204</v>
      </c>
      <c r="H465">
        <v>3261</v>
      </c>
      <c r="I465">
        <v>1590</v>
      </c>
      <c r="J465">
        <v>892</v>
      </c>
      <c r="K465">
        <v>147597.12</v>
      </c>
      <c r="L465">
        <v>2727577.06</v>
      </c>
      <c r="M465" s="2" t="s">
        <v>19</v>
      </c>
      <c r="N465">
        <v>7.8120008046289842</v>
      </c>
      <c r="O465">
        <v>11.178212662829445</v>
      </c>
      <c r="P465">
        <v>24.697061496516206</v>
      </c>
      <c r="Q465">
        <v>165.46762331838565</v>
      </c>
      <c r="R465">
        <v>18.479879959717373</v>
      </c>
    </row>
    <row r="466" spans="1:18" x14ac:dyDescent="0.25">
      <c r="A466" s="1">
        <v>45694</v>
      </c>
      <c r="B466" s="2" t="s">
        <v>30</v>
      </c>
      <c r="C466" s="2" t="s">
        <v>31</v>
      </c>
      <c r="D466" s="2" t="s">
        <v>32</v>
      </c>
      <c r="E466" s="2" t="s">
        <v>38</v>
      </c>
      <c r="F466">
        <v>171440</v>
      </c>
      <c r="G466">
        <v>12089</v>
      </c>
      <c r="H466">
        <v>2871</v>
      </c>
      <c r="I466">
        <v>1782</v>
      </c>
      <c r="J466">
        <v>734</v>
      </c>
      <c r="K466">
        <v>118811.98</v>
      </c>
      <c r="L466">
        <v>2681533.2000000002</v>
      </c>
      <c r="M466" s="2" t="s">
        <v>20</v>
      </c>
      <c r="N466">
        <v>7.0514465702286522</v>
      </c>
      <c r="O466">
        <v>9.8281065431383894</v>
      </c>
      <c r="P466">
        <v>23.748862602365787</v>
      </c>
      <c r="Q466">
        <v>161.86918256130789</v>
      </c>
      <c r="R466">
        <v>22.569552329655647</v>
      </c>
    </row>
    <row r="467" spans="1:18" x14ac:dyDescent="0.25">
      <c r="A467" s="1">
        <v>45695</v>
      </c>
      <c r="B467" s="2" t="s">
        <v>30</v>
      </c>
      <c r="C467" s="2" t="s">
        <v>31</v>
      </c>
      <c r="D467" s="2" t="s">
        <v>32</v>
      </c>
      <c r="E467" s="2" t="s">
        <v>40</v>
      </c>
      <c r="F467">
        <v>157459</v>
      </c>
      <c r="G467">
        <v>9897</v>
      </c>
      <c r="H467">
        <v>2312</v>
      </c>
      <c r="I467">
        <v>1209</v>
      </c>
      <c r="J467">
        <v>650</v>
      </c>
      <c r="K467">
        <v>142696.95000000001</v>
      </c>
      <c r="L467">
        <v>2825372.26</v>
      </c>
      <c r="M467" s="2" t="s">
        <v>20</v>
      </c>
      <c r="N467">
        <v>6.2854457350802431</v>
      </c>
      <c r="O467">
        <v>14.418202485601698</v>
      </c>
      <c r="P467">
        <v>23.360614327574012</v>
      </c>
      <c r="Q467">
        <v>219.53376923076925</v>
      </c>
      <c r="R467">
        <v>19.799808335076534</v>
      </c>
    </row>
    <row r="468" spans="1:18" x14ac:dyDescent="0.25">
      <c r="A468" s="1">
        <v>45696</v>
      </c>
      <c r="B468" s="2" t="s">
        <v>30</v>
      </c>
      <c r="C468" s="2" t="s">
        <v>31</v>
      </c>
      <c r="D468" s="2" t="s">
        <v>32</v>
      </c>
      <c r="E468" s="2" t="s">
        <v>39</v>
      </c>
      <c r="F468">
        <v>65423</v>
      </c>
      <c r="G468">
        <v>3275</v>
      </c>
      <c r="H468">
        <v>709</v>
      </c>
      <c r="I468">
        <v>417</v>
      </c>
      <c r="J468">
        <v>179</v>
      </c>
      <c r="K468">
        <v>31628.240000000002</v>
      </c>
      <c r="L468">
        <v>642830.89</v>
      </c>
      <c r="M468" s="2" t="s">
        <v>22</v>
      </c>
      <c r="N468">
        <v>5.005884780581753</v>
      </c>
      <c r="O468">
        <v>9.657477862595421</v>
      </c>
      <c r="P468">
        <v>21.648854961832061</v>
      </c>
      <c r="Q468">
        <v>176.69407821229052</v>
      </c>
      <c r="R468">
        <v>20.324586192592442</v>
      </c>
    </row>
    <row r="469" spans="1:18" x14ac:dyDescent="0.25">
      <c r="A469" s="1">
        <v>45697</v>
      </c>
      <c r="B469" s="2" t="s">
        <v>30</v>
      </c>
      <c r="C469" s="2" t="s">
        <v>31</v>
      </c>
      <c r="D469" s="2" t="s">
        <v>32</v>
      </c>
      <c r="E469" s="2" t="s">
        <v>40</v>
      </c>
      <c r="F469">
        <v>194699</v>
      </c>
      <c r="G469">
        <v>6867</v>
      </c>
      <c r="H469">
        <v>1321</v>
      </c>
      <c r="I469">
        <v>634</v>
      </c>
      <c r="J469">
        <v>310</v>
      </c>
      <c r="K469">
        <v>138099.75</v>
      </c>
      <c r="L469">
        <v>2251050.92</v>
      </c>
      <c r="M469" s="2" t="s">
        <v>21</v>
      </c>
      <c r="N469">
        <v>3.5269826758226799</v>
      </c>
      <c r="O469">
        <v>20.110637833114897</v>
      </c>
      <c r="P469">
        <v>19.23693024610456</v>
      </c>
      <c r="Q469">
        <v>445.48306451612905</v>
      </c>
      <c r="R469">
        <v>16.300180992362403</v>
      </c>
    </row>
    <row r="470" spans="1:18" x14ac:dyDescent="0.25">
      <c r="A470" s="1">
        <v>45698</v>
      </c>
      <c r="B470" s="2" t="s">
        <v>30</v>
      </c>
      <c r="C470" s="2" t="s">
        <v>31</v>
      </c>
      <c r="D470" s="2" t="s">
        <v>32</v>
      </c>
      <c r="E470" s="2" t="s">
        <v>38</v>
      </c>
      <c r="F470">
        <v>258921</v>
      </c>
      <c r="G470">
        <v>15451</v>
      </c>
      <c r="H470">
        <v>3155</v>
      </c>
      <c r="I470">
        <v>1580</v>
      </c>
      <c r="J470">
        <v>846</v>
      </c>
      <c r="K470">
        <v>123848.52</v>
      </c>
      <c r="L470">
        <v>2990116.79</v>
      </c>
      <c r="M470" s="2" t="s">
        <v>23</v>
      </c>
      <c r="N470">
        <v>5.9674572553018095</v>
      </c>
      <c r="O470">
        <v>8.0155666299915858</v>
      </c>
      <c r="P470">
        <v>20.41939033072293</v>
      </c>
      <c r="Q470">
        <v>146.39304964539008</v>
      </c>
      <c r="R470">
        <v>24.143338894966206</v>
      </c>
    </row>
    <row r="471" spans="1:18" x14ac:dyDescent="0.25">
      <c r="A471" s="1">
        <v>45699</v>
      </c>
      <c r="B471" s="2" t="s">
        <v>30</v>
      </c>
      <c r="C471" s="2" t="s">
        <v>31</v>
      </c>
      <c r="D471" s="2" t="s">
        <v>32</v>
      </c>
      <c r="E471" s="2" t="s">
        <v>39</v>
      </c>
      <c r="F471">
        <v>127232</v>
      </c>
      <c r="G471">
        <v>9034</v>
      </c>
      <c r="H471">
        <v>1736</v>
      </c>
      <c r="I471">
        <v>1112</v>
      </c>
      <c r="J471">
        <v>517</v>
      </c>
      <c r="K471">
        <v>111616.5</v>
      </c>
      <c r="L471">
        <v>3367905.35</v>
      </c>
      <c r="M471" s="2" t="s">
        <v>21</v>
      </c>
      <c r="N471">
        <v>7.1004149899396376</v>
      </c>
      <c r="O471">
        <v>12.355158290901041</v>
      </c>
      <c r="P471">
        <v>19.216294000442772</v>
      </c>
      <c r="Q471">
        <v>215.8926499032882</v>
      </c>
      <c r="R471">
        <v>30.173902156043237</v>
      </c>
    </row>
    <row r="472" spans="1:18" x14ac:dyDescent="0.25">
      <c r="A472" s="1">
        <v>45700</v>
      </c>
      <c r="B472" s="2" t="s">
        <v>30</v>
      </c>
      <c r="C472" s="2" t="s">
        <v>31</v>
      </c>
      <c r="D472" s="2" t="s">
        <v>32</v>
      </c>
      <c r="E472" s="2" t="s">
        <v>38</v>
      </c>
      <c r="F472">
        <v>183701</v>
      </c>
      <c r="G472">
        <v>10838</v>
      </c>
      <c r="H472">
        <v>1745</v>
      </c>
      <c r="I472">
        <v>807</v>
      </c>
      <c r="J472">
        <v>469</v>
      </c>
      <c r="K472">
        <v>163799.75</v>
      </c>
      <c r="L472">
        <v>2978652.97</v>
      </c>
      <c r="M472" s="2" t="s">
        <v>22</v>
      </c>
      <c r="N472">
        <v>5.8998045737366702</v>
      </c>
      <c r="O472">
        <v>15.113466506735561</v>
      </c>
      <c r="P472">
        <v>16.100756597158146</v>
      </c>
      <c r="Q472">
        <v>349.25319829424308</v>
      </c>
      <c r="R472">
        <v>18.184722321004763</v>
      </c>
    </row>
    <row r="473" spans="1:18" x14ac:dyDescent="0.25">
      <c r="A473" s="1">
        <v>45701</v>
      </c>
      <c r="B473" s="2" t="s">
        <v>30</v>
      </c>
      <c r="C473" s="2" t="s">
        <v>31</v>
      </c>
      <c r="D473" s="2" t="s">
        <v>32</v>
      </c>
      <c r="E473" s="2" t="s">
        <v>38</v>
      </c>
      <c r="F473">
        <v>61637</v>
      </c>
      <c r="G473">
        <v>4452</v>
      </c>
      <c r="H473">
        <v>790</v>
      </c>
      <c r="I473">
        <v>460</v>
      </c>
      <c r="J473">
        <v>264</v>
      </c>
      <c r="K473">
        <v>35763.230000000003</v>
      </c>
      <c r="L473">
        <v>1837127.99</v>
      </c>
      <c r="M473" s="2" t="s">
        <v>23</v>
      </c>
      <c r="N473">
        <v>7.2229342764897702</v>
      </c>
      <c r="O473">
        <v>8.0330705300988328</v>
      </c>
      <c r="P473">
        <v>17.744833782569632</v>
      </c>
      <c r="Q473">
        <v>135.4667803030303</v>
      </c>
      <c r="R473">
        <v>51.369185333651345</v>
      </c>
    </row>
    <row r="474" spans="1:18" x14ac:dyDescent="0.25">
      <c r="A474" s="1">
        <v>45702</v>
      </c>
      <c r="B474" s="2" t="s">
        <v>30</v>
      </c>
      <c r="C474" s="2" t="s">
        <v>31</v>
      </c>
      <c r="D474" s="2" t="s">
        <v>32</v>
      </c>
      <c r="E474" s="2" t="s">
        <v>38</v>
      </c>
      <c r="F474">
        <v>115475</v>
      </c>
      <c r="G474">
        <v>6434</v>
      </c>
      <c r="H474">
        <v>1594</v>
      </c>
      <c r="I474">
        <v>911</v>
      </c>
      <c r="J474">
        <v>456</v>
      </c>
      <c r="K474">
        <v>55074.85</v>
      </c>
      <c r="L474">
        <v>1536942.26</v>
      </c>
      <c r="M474" s="2" t="s">
        <v>21</v>
      </c>
      <c r="N474">
        <v>5.5717687811214551</v>
      </c>
      <c r="O474">
        <v>8.5599704693814118</v>
      </c>
      <c r="P474">
        <v>24.77463475287535</v>
      </c>
      <c r="Q474">
        <v>120.77817982456141</v>
      </c>
      <c r="R474">
        <v>27.906426617594057</v>
      </c>
    </row>
    <row r="475" spans="1:18" x14ac:dyDescent="0.25">
      <c r="A475" s="1">
        <v>45703</v>
      </c>
      <c r="B475" s="2" t="s">
        <v>30</v>
      </c>
      <c r="C475" s="2" t="s">
        <v>31</v>
      </c>
      <c r="D475" s="2" t="s">
        <v>32</v>
      </c>
      <c r="E475" s="2" t="s">
        <v>38</v>
      </c>
      <c r="F475">
        <v>242487</v>
      </c>
      <c r="G475">
        <v>10557</v>
      </c>
      <c r="H475">
        <v>1644</v>
      </c>
      <c r="I475">
        <v>940</v>
      </c>
      <c r="J475">
        <v>476</v>
      </c>
      <c r="K475">
        <v>137455.20000000001</v>
      </c>
      <c r="L475">
        <v>2658068.14</v>
      </c>
      <c r="M475" s="2" t="s">
        <v>20</v>
      </c>
      <c r="N475">
        <v>4.3536354526222025</v>
      </c>
      <c r="O475">
        <v>13.020289855072464</v>
      </c>
      <c r="P475">
        <v>15.572605853935778</v>
      </c>
      <c r="Q475">
        <v>288.7714285714286</v>
      </c>
      <c r="R475">
        <v>19.337705230504191</v>
      </c>
    </row>
    <row r="476" spans="1:18" x14ac:dyDescent="0.25">
      <c r="A476" s="1">
        <v>45704</v>
      </c>
      <c r="B476" s="2" t="s">
        <v>30</v>
      </c>
      <c r="C476" s="2" t="s">
        <v>31</v>
      </c>
      <c r="D476" s="2" t="s">
        <v>32</v>
      </c>
      <c r="E476" s="2" t="s">
        <v>40</v>
      </c>
      <c r="F476">
        <v>236585</v>
      </c>
      <c r="G476">
        <v>7923</v>
      </c>
      <c r="H476">
        <v>1495</v>
      </c>
      <c r="I476">
        <v>848</v>
      </c>
      <c r="J476">
        <v>467</v>
      </c>
      <c r="K476">
        <v>129801.04</v>
      </c>
      <c r="L476">
        <v>3083695.93</v>
      </c>
      <c r="M476" s="2" t="s">
        <v>21</v>
      </c>
      <c r="N476">
        <v>3.3489020859310612</v>
      </c>
      <c r="O476">
        <v>16.382814590432915</v>
      </c>
      <c r="P476">
        <v>18.869115234128486</v>
      </c>
      <c r="Q476">
        <v>277.94655246252677</v>
      </c>
      <c r="R476">
        <v>23.757097246678459</v>
      </c>
    </row>
    <row r="477" spans="1:18" x14ac:dyDescent="0.25">
      <c r="A477" s="1">
        <v>45705</v>
      </c>
      <c r="B477" s="2" t="s">
        <v>30</v>
      </c>
      <c r="C477" s="2" t="s">
        <v>31</v>
      </c>
      <c r="D477" s="2" t="s">
        <v>32</v>
      </c>
      <c r="E477" s="2" t="s">
        <v>39</v>
      </c>
      <c r="F477">
        <v>109605</v>
      </c>
      <c r="G477">
        <v>8284</v>
      </c>
      <c r="H477">
        <v>1935</v>
      </c>
      <c r="I477">
        <v>1132</v>
      </c>
      <c r="J477">
        <v>663</v>
      </c>
      <c r="K477">
        <v>61086.21</v>
      </c>
      <c r="L477">
        <v>2830034.76</v>
      </c>
      <c r="M477" s="2" t="s">
        <v>22</v>
      </c>
      <c r="N477">
        <v>7.5580493590620872</v>
      </c>
      <c r="O477">
        <v>7.3739992757122161</v>
      </c>
      <c r="P477">
        <v>23.358281023660069</v>
      </c>
      <c r="Q477">
        <v>92.136063348416286</v>
      </c>
      <c r="R477">
        <v>46.328537324545096</v>
      </c>
    </row>
    <row r="478" spans="1:18" x14ac:dyDescent="0.25">
      <c r="A478" s="1">
        <v>45706</v>
      </c>
      <c r="B478" s="2" t="s">
        <v>30</v>
      </c>
      <c r="C478" s="2" t="s">
        <v>31</v>
      </c>
      <c r="D478" s="2" t="s">
        <v>32</v>
      </c>
      <c r="E478" s="2" t="s">
        <v>38</v>
      </c>
      <c r="F478">
        <v>59185</v>
      </c>
      <c r="G478">
        <v>4390</v>
      </c>
      <c r="H478">
        <v>1044</v>
      </c>
      <c r="I478">
        <v>588</v>
      </c>
      <c r="J478">
        <v>283</v>
      </c>
      <c r="K478">
        <v>39767.599999999999</v>
      </c>
      <c r="L478">
        <v>1548093.27</v>
      </c>
      <c r="M478" s="2" t="s">
        <v>20</v>
      </c>
      <c r="N478">
        <v>7.4174199543803336</v>
      </c>
      <c r="O478">
        <v>9.0586788154897491</v>
      </c>
      <c r="P478">
        <v>23.781321184510251</v>
      </c>
      <c r="Q478">
        <v>140.52155477031801</v>
      </c>
      <c r="R478">
        <v>38.928506372021445</v>
      </c>
    </row>
    <row r="479" spans="1:18" x14ac:dyDescent="0.25">
      <c r="A479" s="1">
        <v>45707</v>
      </c>
      <c r="B479" s="2" t="s">
        <v>30</v>
      </c>
      <c r="C479" s="2" t="s">
        <v>31</v>
      </c>
      <c r="D479" s="2" t="s">
        <v>32</v>
      </c>
      <c r="E479" s="2" t="s">
        <v>38</v>
      </c>
      <c r="F479">
        <v>183593</v>
      </c>
      <c r="G479">
        <v>5650</v>
      </c>
      <c r="H479">
        <v>1015</v>
      </c>
      <c r="I479">
        <v>541</v>
      </c>
      <c r="J479">
        <v>288</v>
      </c>
      <c r="K479">
        <v>78874.38</v>
      </c>
      <c r="L479">
        <v>867564.82</v>
      </c>
      <c r="M479" s="2" t="s">
        <v>22</v>
      </c>
      <c r="N479">
        <v>3.077459380259596</v>
      </c>
      <c r="O479">
        <v>13.960067256637169</v>
      </c>
      <c r="P479">
        <v>17.964601769911503</v>
      </c>
      <c r="Q479">
        <v>273.86937499999999</v>
      </c>
      <c r="R479">
        <v>10.999323481211515</v>
      </c>
    </row>
    <row r="480" spans="1:18" x14ac:dyDescent="0.25">
      <c r="A480" s="1">
        <v>45708</v>
      </c>
      <c r="B480" s="2" t="s">
        <v>30</v>
      </c>
      <c r="C480" s="2" t="s">
        <v>31</v>
      </c>
      <c r="D480" s="2" t="s">
        <v>32</v>
      </c>
      <c r="E480" s="2" t="s">
        <v>39</v>
      </c>
      <c r="F480">
        <v>115658</v>
      </c>
      <c r="G480">
        <v>6141</v>
      </c>
      <c r="H480">
        <v>1182</v>
      </c>
      <c r="I480">
        <v>685</v>
      </c>
      <c r="J480">
        <v>302</v>
      </c>
      <c r="K480">
        <v>81667.73</v>
      </c>
      <c r="L480">
        <v>2031836.19</v>
      </c>
      <c r="M480" s="2" t="s">
        <v>23</v>
      </c>
      <c r="N480">
        <v>5.3096197409604171</v>
      </c>
      <c r="O480">
        <v>13.298767301742387</v>
      </c>
      <c r="P480">
        <v>19.247679531021006</v>
      </c>
      <c r="Q480">
        <v>270.42294701986754</v>
      </c>
      <c r="R480">
        <v>24.879302877648247</v>
      </c>
    </row>
    <row r="481" spans="1:18" x14ac:dyDescent="0.25">
      <c r="A481" s="1">
        <v>45709</v>
      </c>
      <c r="B481" s="2" t="s">
        <v>30</v>
      </c>
      <c r="C481" s="2" t="s">
        <v>31</v>
      </c>
      <c r="D481" s="2" t="s">
        <v>32</v>
      </c>
      <c r="E481" s="2" t="s">
        <v>40</v>
      </c>
      <c r="F481">
        <v>125536</v>
      </c>
      <c r="G481">
        <v>6373</v>
      </c>
      <c r="H481">
        <v>1242</v>
      </c>
      <c r="I481">
        <v>763</v>
      </c>
      <c r="J481">
        <v>414</v>
      </c>
      <c r="K481">
        <v>81484.23</v>
      </c>
      <c r="L481">
        <v>3091570.59</v>
      </c>
      <c r="M481" s="2" t="s">
        <v>23</v>
      </c>
      <c r="N481">
        <v>5.076631404537344</v>
      </c>
      <c r="O481">
        <v>12.78585124745018</v>
      </c>
      <c r="P481">
        <v>19.488466970029812</v>
      </c>
      <c r="Q481">
        <v>196.8218115942029</v>
      </c>
      <c r="R481">
        <v>37.940722885888469</v>
      </c>
    </row>
    <row r="482" spans="1:18" x14ac:dyDescent="0.25">
      <c r="A482" s="1">
        <v>45710</v>
      </c>
      <c r="B482" s="2" t="s">
        <v>30</v>
      </c>
      <c r="C482" s="2" t="s">
        <v>31</v>
      </c>
      <c r="D482" s="2" t="s">
        <v>32</v>
      </c>
      <c r="E482" s="2" t="s">
        <v>40</v>
      </c>
      <c r="F482">
        <v>279784</v>
      </c>
      <c r="G482">
        <v>19574</v>
      </c>
      <c r="H482">
        <v>4822</v>
      </c>
      <c r="I482">
        <v>2939</v>
      </c>
      <c r="J482">
        <v>1343</v>
      </c>
      <c r="K482">
        <v>143229.35</v>
      </c>
      <c r="L482">
        <v>6633392.3399999999</v>
      </c>
      <c r="M482" s="2" t="s">
        <v>20</v>
      </c>
      <c r="N482">
        <v>6.9961112858490839</v>
      </c>
      <c r="O482">
        <v>7.3173265556350264</v>
      </c>
      <c r="P482">
        <v>24.634719525901708</v>
      </c>
      <c r="Q482">
        <v>106.64880863737901</v>
      </c>
      <c r="R482">
        <v>46.313079965803098</v>
      </c>
    </row>
    <row r="483" spans="1:18" x14ac:dyDescent="0.25">
      <c r="A483" s="1">
        <v>45711</v>
      </c>
      <c r="B483" s="2" t="s">
        <v>30</v>
      </c>
      <c r="C483" s="2" t="s">
        <v>31</v>
      </c>
      <c r="D483" s="2" t="s">
        <v>32</v>
      </c>
      <c r="E483" s="2" t="s">
        <v>39</v>
      </c>
      <c r="F483">
        <v>141610</v>
      </c>
      <c r="G483">
        <v>8320</v>
      </c>
      <c r="H483">
        <v>1667</v>
      </c>
      <c r="I483">
        <v>1053</v>
      </c>
      <c r="J483">
        <v>595</v>
      </c>
      <c r="K483">
        <v>71547.48</v>
      </c>
      <c r="L483">
        <v>4297339.82</v>
      </c>
      <c r="M483" s="2" t="s">
        <v>23</v>
      </c>
      <c r="N483">
        <v>5.8752912929877832</v>
      </c>
      <c r="O483">
        <v>8.59945673076923</v>
      </c>
      <c r="P483">
        <v>20.036057692307693</v>
      </c>
      <c r="Q483">
        <v>120.24786554621848</v>
      </c>
      <c r="R483">
        <v>60.062769785882054</v>
      </c>
    </row>
    <row r="484" spans="1:18" x14ac:dyDescent="0.25">
      <c r="A484" s="1">
        <v>45712</v>
      </c>
      <c r="B484" s="2" t="s">
        <v>30</v>
      </c>
      <c r="C484" s="2" t="s">
        <v>31</v>
      </c>
      <c r="D484" s="2" t="s">
        <v>32</v>
      </c>
      <c r="E484" s="2" t="s">
        <v>40</v>
      </c>
      <c r="F484">
        <v>145064</v>
      </c>
      <c r="G484">
        <v>7505</v>
      </c>
      <c r="H484">
        <v>1364</v>
      </c>
      <c r="I484">
        <v>661</v>
      </c>
      <c r="J484">
        <v>346</v>
      </c>
      <c r="K484">
        <v>74277.509999999995</v>
      </c>
      <c r="L484">
        <v>1181975.04</v>
      </c>
      <c r="M484" s="2" t="s">
        <v>23</v>
      </c>
      <c r="N484">
        <v>5.1735785584293827</v>
      </c>
      <c r="O484">
        <v>9.8970699533644222</v>
      </c>
      <c r="P484">
        <v>18.174550299800131</v>
      </c>
      <c r="Q484">
        <v>214.67488439306356</v>
      </c>
      <c r="R484">
        <v>15.912959925554857</v>
      </c>
    </row>
    <row r="485" spans="1:18" x14ac:dyDescent="0.25">
      <c r="A485" s="1">
        <v>45713</v>
      </c>
      <c r="B485" s="2" t="s">
        <v>30</v>
      </c>
      <c r="C485" s="2" t="s">
        <v>31</v>
      </c>
      <c r="D485" s="2" t="s">
        <v>32</v>
      </c>
      <c r="E485" s="2" t="s">
        <v>38</v>
      </c>
      <c r="F485">
        <v>298028</v>
      </c>
      <c r="G485">
        <v>20642</v>
      </c>
      <c r="H485">
        <v>4696</v>
      </c>
      <c r="I485">
        <v>2781</v>
      </c>
      <c r="J485">
        <v>1630</v>
      </c>
      <c r="K485">
        <v>284889.28000000003</v>
      </c>
      <c r="L485">
        <v>11577295.93</v>
      </c>
      <c r="M485" s="2" t="s">
        <v>21</v>
      </c>
      <c r="N485">
        <v>6.926194854174776</v>
      </c>
      <c r="O485">
        <v>13.801437845170042</v>
      </c>
      <c r="P485">
        <v>22.749733552950296</v>
      </c>
      <c r="Q485">
        <v>174.77869938650309</v>
      </c>
      <c r="R485">
        <v>40.63787844175814</v>
      </c>
    </row>
    <row r="486" spans="1:18" x14ac:dyDescent="0.25">
      <c r="A486" s="1">
        <v>45714</v>
      </c>
      <c r="B486" s="2" t="s">
        <v>30</v>
      </c>
      <c r="C486" s="2" t="s">
        <v>31</v>
      </c>
      <c r="D486" s="2" t="s">
        <v>32</v>
      </c>
      <c r="E486" s="2" t="s">
        <v>39</v>
      </c>
      <c r="F486">
        <v>82925</v>
      </c>
      <c r="G486">
        <v>5003</v>
      </c>
      <c r="H486">
        <v>1088</v>
      </c>
      <c r="I486">
        <v>544</v>
      </c>
      <c r="J486">
        <v>317</v>
      </c>
      <c r="K486">
        <v>49214.3</v>
      </c>
      <c r="L486">
        <v>2410736.98</v>
      </c>
      <c r="M486" s="2" t="s">
        <v>21</v>
      </c>
      <c r="N486">
        <v>6.0331624962315349</v>
      </c>
      <c r="O486">
        <v>9.8369578253048182</v>
      </c>
      <c r="P486">
        <v>21.74695182890266</v>
      </c>
      <c r="Q486">
        <v>155.25015772870663</v>
      </c>
      <c r="R486">
        <v>48.98448174615914</v>
      </c>
    </row>
    <row r="487" spans="1:18" x14ac:dyDescent="0.25">
      <c r="A487" s="1">
        <v>45715</v>
      </c>
      <c r="B487" s="2" t="s">
        <v>30</v>
      </c>
      <c r="C487" s="2" t="s">
        <v>31</v>
      </c>
      <c r="D487" s="2" t="s">
        <v>32</v>
      </c>
      <c r="E487" s="2" t="s">
        <v>39</v>
      </c>
      <c r="F487">
        <v>113983</v>
      </c>
      <c r="G487">
        <v>4651</v>
      </c>
      <c r="H487">
        <v>940</v>
      </c>
      <c r="I487">
        <v>445</v>
      </c>
      <c r="J487">
        <v>184</v>
      </c>
      <c r="K487">
        <v>79830.66</v>
      </c>
      <c r="L487">
        <v>692151.2</v>
      </c>
      <c r="M487" s="2" t="s">
        <v>20</v>
      </c>
      <c r="N487">
        <v>4.0804330470333294</v>
      </c>
      <c r="O487">
        <v>17.164192646742638</v>
      </c>
      <c r="P487">
        <v>20.210707374758115</v>
      </c>
      <c r="Q487">
        <v>433.86228260869569</v>
      </c>
      <c r="R487">
        <v>8.6702427363120869</v>
      </c>
    </row>
    <row r="488" spans="1:18" x14ac:dyDescent="0.25">
      <c r="A488" s="1">
        <v>45716</v>
      </c>
      <c r="B488" s="2" t="s">
        <v>30</v>
      </c>
      <c r="C488" s="2" t="s">
        <v>31</v>
      </c>
      <c r="D488" s="2" t="s">
        <v>32</v>
      </c>
      <c r="E488" s="2" t="s">
        <v>40</v>
      </c>
      <c r="F488">
        <v>103093</v>
      </c>
      <c r="G488">
        <v>3235</v>
      </c>
      <c r="H488">
        <v>665</v>
      </c>
      <c r="I488">
        <v>347</v>
      </c>
      <c r="J488">
        <v>181</v>
      </c>
      <c r="K488">
        <v>70779.600000000006</v>
      </c>
      <c r="L488">
        <v>1258576.42</v>
      </c>
      <c r="M488" s="2" t="s">
        <v>20</v>
      </c>
      <c r="N488">
        <v>3.1379434103188384</v>
      </c>
      <c r="O488">
        <v>21.879319938176199</v>
      </c>
      <c r="P488">
        <v>20.556414219474497</v>
      </c>
      <c r="Q488">
        <v>391.0475138121547</v>
      </c>
      <c r="R488">
        <v>17.781626626881188</v>
      </c>
    </row>
    <row r="489" spans="1:18" x14ac:dyDescent="0.25">
      <c r="A489" s="1">
        <v>45717</v>
      </c>
      <c r="B489" s="2" t="s">
        <v>30</v>
      </c>
      <c r="C489" s="2" t="s">
        <v>31</v>
      </c>
      <c r="D489" s="2" t="s">
        <v>32</v>
      </c>
      <c r="E489" s="2" t="s">
        <v>38</v>
      </c>
      <c r="F489">
        <v>53653</v>
      </c>
      <c r="G489">
        <v>2463</v>
      </c>
      <c r="H489">
        <v>459</v>
      </c>
      <c r="I489">
        <v>282</v>
      </c>
      <c r="J489">
        <v>149</v>
      </c>
      <c r="K489">
        <v>37104.879999999997</v>
      </c>
      <c r="L489">
        <v>1030118.97</v>
      </c>
      <c r="M489" s="2" t="s">
        <v>21</v>
      </c>
      <c r="N489">
        <v>4.590610031125939</v>
      </c>
      <c r="O489">
        <v>15.064912708079577</v>
      </c>
      <c r="P489">
        <v>18.635809987819734</v>
      </c>
      <c r="Q489">
        <v>249.02604026845637</v>
      </c>
      <c r="R489">
        <v>27.762358212720269</v>
      </c>
    </row>
    <row r="490" spans="1:18" x14ac:dyDescent="0.25">
      <c r="A490" s="1">
        <v>45718</v>
      </c>
      <c r="B490" s="2" t="s">
        <v>30</v>
      </c>
      <c r="C490" s="2" t="s">
        <v>31</v>
      </c>
      <c r="D490" s="2" t="s">
        <v>32</v>
      </c>
      <c r="E490" s="2" t="s">
        <v>38</v>
      </c>
      <c r="F490">
        <v>231442</v>
      </c>
      <c r="G490">
        <v>13709</v>
      </c>
      <c r="H490">
        <v>2805</v>
      </c>
      <c r="I490">
        <v>1555</v>
      </c>
      <c r="J490">
        <v>749</v>
      </c>
      <c r="K490">
        <v>207424.01</v>
      </c>
      <c r="L490">
        <v>4028445.09</v>
      </c>
      <c r="M490" s="2" t="s">
        <v>19</v>
      </c>
      <c r="N490">
        <v>5.9232982777542542</v>
      </c>
      <c r="O490">
        <v>15.130498942300679</v>
      </c>
      <c r="P490">
        <v>20.461011014661899</v>
      </c>
      <c r="Q490">
        <v>276.93459279038717</v>
      </c>
      <c r="R490">
        <v>19.4213056145236</v>
      </c>
    </row>
    <row r="491" spans="1:18" x14ac:dyDescent="0.25">
      <c r="A491" s="1">
        <v>45719</v>
      </c>
      <c r="B491" s="2" t="s">
        <v>30</v>
      </c>
      <c r="C491" s="2" t="s">
        <v>31</v>
      </c>
      <c r="D491" s="2" t="s">
        <v>32</v>
      </c>
      <c r="E491" s="2" t="s">
        <v>40</v>
      </c>
      <c r="F491">
        <v>134246</v>
      </c>
      <c r="G491">
        <v>8250</v>
      </c>
      <c r="H491">
        <v>1329</v>
      </c>
      <c r="I491">
        <v>727</v>
      </c>
      <c r="J491">
        <v>429</v>
      </c>
      <c r="K491">
        <v>78289.58</v>
      </c>
      <c r="L491">
        <v>2346719</v>
      </c>
      <c r="M491" s="2" t="s">
        <v>19</v>
      </c>
      <c r="N491">
        <v>6.1454345008417386</v>
      </c>
      <c r="O491">
        <v>9.4896460606060611</v>
      </c>
      <c r="P491">
        <v>16.109090909090909</v>
      </c>
      <c r="Q491">
        <v>182.49319347319349</v>
      </c>
      <c r="R491">
        <v>29.974857445907872</v>
      </c>
    </row>
    <row r="492" spans="1:18" x14ac:dyDescent="0.25">
      <c r="A492" s="1">
        <v>45720</v>
      </c>
      <c r="B492" s="2" t="s">
        <v>30</v>
      </c>
      <c r="C492" s="2" t="s">
        <v>31</v>
      </c>
      <c r="D492" s="2" t="s">
        <v>32</v>
      </c>
      <c r="E492" s="2" t="s">
        <v>38</v>
      </c>
      <c r="F492">
        <v>131176</v>
      </c>
      <c r="G492">
        <v>5409</v>
      </c>
      <c r="H492">
        <v>1273</v>
      </c>
      <c r="I492">
        <v>750</v>
      </c>
      <c r="J492">
        <v>449</v>
      </c>
      <c r="K492">
        <v>67190.070000000007</v>
      </c>
      <c r="L492">
        <v>3326521.1</v>
      </c>
      <c r="M492" s="2" t="s">
        <v>23</v>
      </c>
      <c r="N492">
        <v>4.123467707507471</v>
      </c>
      <c r="O492">
        <v>12.421902384914034</v>
      </c>
      <c r="P492">
        <v>23.534849325198742</v>
      </c>
      <c r="Q492">
        <v>149.64380846325167</v>
      </c>
      <c r="R492">
        <v>49.509117939600294</v>
      </c>
    </row>
    <row r="493" spans="1:18" x14ac:dyDescent="0.25">
      <c r="A493" s="1">
        <v>45721</v>
      </c>
      <c r="B493" s="2" t="s">
        <v>30</v>
      </c>
      <c r="C493" s="2" t="s">
        <v>31</v>
      </c>
      <c r="D493" s="2" t="s">
        <v>32</v>
      </c>
      <c r="E493" s="2" t="s">
        <v>40</v>
      </c>
      <c r="F493">
        <v>75507</v>
      </c>
      <c r="G493">
        <v>4191</v>
      </c>
      <c r="H493">
        <v>800</v>
      </c>
      <c r="I493">
        <v>373</v>
      </c>
      <c r="J493">
        <v>220</v>
      </c>
      <c r="K493">
        <v>68079.25</v>
      </c>
      <c r="L493">
        <v>1653602.64</v>
      </c>
      <c r="M493" s="2" t="s">
        <v>23</v>
      </c>
      <c r="N493">
        <v>5.5504787635583455</v>
      </c>
      <c r="O493">
        <v>16.244154139823433</v>
      </c>
      <c r="P493">
        <v>19.088523025530897</v>
      </c>
      <c r="Q493">
        <v>309.45113636363635</v>
      </c>
      <c r="R493">
        <v>24.289378041033061</v>
      </c>
    </row>
    <row r="494" spans="1:18" x14ac:dyDescent="0.25">
      <c r="A494" s="1">
        <v>45722</v>
      </c>
      <c r="B494" s="2" t="s">
        <v>30</v>
      </c>
      <c r="C494" s="2" t="s">
        <v>31</v>
      </c>
      <c r="D494" s="2" t="s">
        <v>32</v>
      </c>
      <c r="E494" s="2" t="s">
        <v>39</v>
      </c>
      <c r="F494">
        <v>188977</v>
      </c>
      <c r="G494">
        <v>11714</v>
      </c>
      <c r="H494">
        <v>2647</v>
      </c>
      <c r="I494">
        <v>1690</v>
      </c>
      <c r="J494">
        <v>798</v>
      </c>
      <c r="K494">
        <v>113365.21</v>
      </c>
      <c r="L494">
        <v>5029867.79</v>
      </c>
      <c r="M494" s="2" t="s">
        <v>21</v>
      </c>
      <c r="N494">
        <v>6.1986379294834828</v>
      </c>
      <c r="O494">
        <v>9.6777539696090162</v>
      </c>
      <c r="P494">
        <v>22.596892607136759</v>
      </c>
      <c r="Q494">
        <v>142.06166666666667</v>
      </c>
      <c r="R494">
        <v>44.368707031019476</v>
      </c>
    </row>
    <row r="495" spans="1:18" x14ac:dyDescent="0.25">
      <c r="A495" s="1">
        <v>45723</v>
      </c>
      <c r="B495" s="2" t="s">
        <v>30</v>
      </c>
      <c r="C495" s="2" t="s">
        <v>31</v>
      </c>
      <c r="D495" s="2" t="s">
        <v>32</v>
      </c>
      <c r="E495" s="2" t="s">
        <v>39</v>
      </c>
      <c r="F495">
        <v>252677</v>
      </c>
      <c r="G495">
        <v>9888</v>
      </c>
      <c r="H495">
        <v>1997</v>
      </c>
      <c r="I495">
        <v>964</v>
      </c>
      <c r="J495">
        <v>578</v>
      </c>
      <c r="K495">
        <v>105630.8</v>
      </c>
      <c r="L495">
        <v>3700568.66</v>
      </c>
      <c r="M495" s="2" t="s">
        <v>20</v>
      </c>
      <c r="N495">
        <v>3.9132964219141435</v>
      </c>
      <c r="O495">
        <v>10.682726537216828</v>
      </c>
      <c r="P495">
        <v>20.196197411003237</v>
      </c>
      <c r="Q495">
        <v>182.7522491349481</v>
      </c>
      <c r="R495">
        <v>35.033045854050144</v>
      </c>
    </row>
    <row r="496" spans="1:18" x14ac:dyDescent="0.25">
      <c r="A496" s="1">
        <v>45724</v>
      </c>
      <c r="B496" s="2" t="s">
        <v>30</v>
      </c>
      <c r="C496" s="2" t="s">
        <v>31</v>
      </c>
      <c r="D496" s="2" t="s">
        <v>32</v>
      </c>
      <c r="E496" s="2" t="s">
        <v>38</v>
      </c>
      <c r="F496">
        <v>146366</v>
      </c>
      <c r="G496">
        <v>8269</v>
      </c>
      <c r="H496">
        <v>1633</v>
      </c>
      <c r="I496">
        <v>979</v>
      </c>
      <c r="J496">
        <v>429</v>
      </c>
      <c r="K496">
        <v>108116.05</v>
      </c>
      <c r="L496">
        <v>2625145.2200000002</v>
      </c>
      <c r="M496" s="2" t="s">
        <v>21</v>
      </c>
      <c r="N496">
        <v>5.6495360944481643</v>
      </c>
      <c r="O496">
        <v>13.07486394969162</v>
      </c>
      <c r="P496">
        <v>19.748458096505018</v>
      </c>
      <c r="Q496">
        <v>252.01876456876457</v>
      </c>
      <c r="R496">
        <v>24.280809556027993</v>
      </c>
    </row>
    <row r="497" spans="1:18" x14ac:dyDescent="0.25">
      <c r="A497" s="1">
        <v>45725</v>
      </c>
      <c r="B497" s="2" t="s">
        <v>30</v>
      </c>
      <c r="C497" s="2" t="s">
        <v>31</v>
      </c>
      <c r="D497" s="2" t="s">
        <v>32</v>
      </c>
      <c r="E497" s="2" t="s">
        <v>40</v>
      </c>
      <c r="F497">
        <v>134757</v>
      </c>
      <c r="G497">
        <v>6182</v>
      </c>
      <c r="H497">
        <v>1265</v>
      </c>
      <c r="I497">
        <v>682</v>
      </c>
      <c r="J497">
        <v>294</v>
      </c>
      <c r="K497">
        <v>74426.89</v>
      </c>
      <c r="L497">
        <v>1368570.59</v>
      </c>
      <c r="M497" s="2" t="s">
        <v>19</v>
      </c>
      <c r="N497">
        <v>4.5875167894803237</v>
      </c>
      <c r="O497">
        <v>12.03928987382724</v>
      </c>
      <c r="P497">
        <v>20.462633451957295</v>
      </c>
      <c r="Q497">
        <v>253.15268707482994</v>
      </c>
      <c r="R497">
        <v>18.388120073269217</v>
      </c>
    </row>
    <row r="498" spans="1:18" x14ac:dyDescent="0.25">
      <c r="A498" s="1">
        <v>45726</v>
      </c>
      <c r="B498" s="2" t="s">
        <v>30</v>
      </c>
      <c r="C498" s="2" t="s">
        <v>31</v>
      </c>
      <c r="D498" s="2" t="s">
        <v>32</v>
      </c>
      <c r="E498" s="2" t="s">
        <v>39</v>
      </c>
      <c r="F498">
        <v>258417</v>
      </c>
      <c r="G498">
        <v>18909</v>
      </c>
      <c r="H498">
        <v>4020</v>
      </c>
      <c r="I498">
        <v>2269</v>
      </c>
      <c r="J498">
        <v>1059</v>
      </c>
      <c r="K498">
        <v>140621.96</v>
      </c>
      <c r="L498">
        <v>7367765.46</v>
      </c>
      <c r="M498" s="2" t="s">
        <v>20</v>
      </c>
      <c r="N498">
        <v>7.3172430606345555</v>
      </c>
      <c r="O498">
        <v>7.4367740229520329</v>
      </c>
      <c r="P498">
        <v>21.259717594796129</v>
      </c>
      <c r="Q498">
        <v>132.78749763928232</v>
      </c>
      <c r="R498">
        <v>52.394131471357674</v>
      </c>
    </row>
    <row r="499" spans="1:18" x14ac:dyDescent="0.25">
      <c r="A499" s="1">
        <v>45727</v>
      </c>
      <c r="B499" s="2" t="s">
        <v>30</v>
      </c>
      <c r="C499" s="2" t="s">
        <v>31</v>
      </c>
      <c r="D499" s="2" t="s">
        <v>32</v>
      </c>
      <c r="E499" s="2" t="s">
        <v>39</v>
      </c>
      <c r="F499">
        <v>209874</v>
      </c>
      <c r="G499">
        <v>11904</v>
      </c>
      <c r="H499">
        <v>2886</v>
      </c>
      <c r="I499">
        <v>1634</v>
      </c>
      <c r="J499">
        <v>908</v>
      </c>
      <c r="K499">
        <v>156283.1</v>
      </c>
      <c r="L499">
        <v>4945752.5199999996</v>
      </c>
      <c r="M499" s="2" t="s">
        <v>22</v>
      </c>
      <c r="N499">
        <v>5.6719746133394322</v>
      </c>
      <c r="O499">
        <v>13.12862063172043</v>
      </c>
      <c r="P499">
        <v>24.243951612903224</v>
      </c>
      <c r="Q499">
        <v>172.11795154185023</v>
      </c>
      <c r="R499">
        <v>31.646112215588246</v>
      </c>
    </row>
    <row r="500" spans="1:18" x14ac:dyDescent="0.25">
      <c r="A500" s="1">
        <v>45728</v>
      </c>
      <c r="B500" s="2" t="s">
        <v>30</v>
      </c>
      <c r="C500" s="2" t="s">
        <v>31</v>
      </c>
      <c r="D500" s="2" t="s">
        <v>32</v>
      </c>
      <c r="E500" s="2" t="s">
        <v>38</v>
      </c>
      <c r="F500">
        <v>142999</v>
      </c>
      <c r="G500">
        <v>4752</v>
      </c>
      <c r="H500">
        <v>762</v>
      </c>
      <c r="I500">
        <v>444</v>
      </c>
      <c r="J500">
        <v>200</v>
      </c>
      <c r="K500">
        <v>92318.66</v>
      </c>
      <c r="L500">
        <v>795253.41</v>
      </c>
      <c r="M500" s="2" t="s">
        <v>22</v>
      </c>
      <c r="N500">
        <v>3.3231001615395912</v>
      </c>
      <c r="O500">
        <v>19.427327441077441</v>
      </c>
      <c r="P500">
        <v>16.035353535353536</v>
      </c>
      <c r="Q500">
        <v>461.5933</v>
      </c>
      <c r="R500">
        <v>8.6142217618843251</v>
      </c>
    </row>
    <row r="501" spans="1:18" x14ac:dyDescent="0.25">
      <c r="A501" s="1">
        <v>45729</v>
      </c>
      <c r="B501" s="2" t="s">
        <v>30</v>
      </c>
      <c r="C501" s="2" t="s">
        <v>31</v>
      </c>
      <c r="D501" s="2" t="s">
        <v>32</v>
      </c>
      <c r="E501" s="2" t="s">
        <v>38</v>
      </c>
      <c r="F501">
        <v>250958</v>
      </c>
      <c r="G501">
        <v>19914</v>
      </c>
      <c r="H501">
        <v>4316</v>
      </c>
      <c r="I501">
        <v>2505</v>
      </c>
      <c r="J501">
        <v>1303</v>
      </c>
      <c r="K501">
        <v>101670.82</v>
      </c>
      <c r="L501">
        <v>4200194.37</v>
      </c>
      <c r="M501" s="2" t="s">
        <v>22</v>
      </c>
      <c r="N501">
        <v>7.9351923429418463</v>
      </c>
      <c r="O501">
        <v>5.105494626895652</v>
      </c>
      <c r="P501">
        <v>21.673194737370693</v>
      </c>
      <c r="Q501">
        <v>78.028257866462013</v>
      </c>
      <c r="R501">
        <v>41.311699561388409</v>
      </c>
    </row>
    <row r="502" spans="1:18" x14ac:dyDescent="0.25">
      <c r="A502" s="1">
        <v>45730</v>
      </c>
      <c r="B502" s="2" t="s">
        <v>30</v>
      </c>
      <c r="C502" s="2" t="s">
        <v>31</v>
      </c>
      <c r="D502" s="2" t="s">
        <v>32</v>
      </c>
      <c r="E502" s="2" t="s">
        <v>39</v>
      </c>
      <c r="F502">
        <v>286615</v>
      </c>
      <c r="G502">
        <v>14860</v>
      </c>
      <c r="H502">
        <v>3405</v>
      </c>
      <c r="I502">
        <v>1582</v>
      </c>
      <c r="J502">
        <v>809</v>
      </c>
      <c r="K502">
        <v>174370.56</v>
      </c>
      <c r="L502">
        <v>6056441.3700000001</v>
      </c>
      <c r="M502" s="2" t="s">
        <v>20</v>
      </c>
      <c r="N502">
        <v>5.1846553739336745</v>
      </c>
      <c r="O502">
        <v>11.73422341857335</v>
      </c>
      <c r="P502">
        <v>22.913862718707943</v>
      </c>
      <c r="Q502">
        <v>215.53839307787391</v>
      </c>
      <c r="R502">
        <v>34.733164646600898</v>
      </c>
    </row>
    <row r="503" spans="1:18" x14ac:dyDescent="0.25">
      <c r="A503" s="1">
        <v>45731</v>
      </c>
      <c r="B503" s="2" t="s">
        <v>30</v>
      </c>
      <c r="C503" s="2" t="s">
        <v>31</v>
      </c>
      <c r="D503" s="2" t="s">
        <v>32</v>
      </c>
      <c r="E503" s="2" t="s">
        <v>38</v>
      </c>
      <c r="F503">
        <v>184520</v>
      </c>
      <c r="G503">
        <v>9112</v>
      </c>
      <c r="H503">
        <v>2248</v>
      </c>
      <c r="I503">
        <v>1022</v>
      </c>
      <c r="J503">
        <v>476</v>
      </c>
      <c r="K503">
        <v>93561.23</v>
      </c>
      <c r="L503">
        <v>2941652.56</v>
      </c>
      <c r="M503" s="2" t="s">
        <v>20</v>
      </c>
      <c r="N503">
        <v>4.9382180793409924</v>
      </c>
      <c r="O503">
        <v>10.267913740122914</v>
      </c>
      <c r="P503">
        <v>24.670763827919227</v>
      </c>
      <c r="Q503">
        <v>196.55720588235295</v>
      </c>
      <c r="R503">
        <v>31.440935096727568</v>
      </c>
    </row>
    <row r="504" spans="1:18" x14ac:dyDescent="0.25">
      <c r="A504" s="1">
        <v>45732</v>
      </c>
      <c r="B504" s="2" t="s">
        <v>30</v>
      </c>
      <c r="C504" s="2" t="s">
        <v>31</v>
      </c>
      <c r="D504" s="2" t="s">
        <v>32</v>
      </c>
      <c r="E504" s="2" t="s">
        <v>39</v>
      </c>
      <c r="F504">
        <v>143329</v>
      </c>
      <c r="G504">
        <v>8242</v>
      </c>
      <c r="H504">
        <v>2029</v>
      </c>
      <c r="I504">
        <v>1135</v>
      </c>
      <c r="J504">
        <v>533</v>
      </c>
      <c r="K504">
        <v>135105.23000000001</v>
      </c>
      <c r="L504">
        <v>2328047.63</v>
      </c>
      <c r="M504" s="2" t="s">
        <v>22</v>
      </c>
      <c r="N504">
        <v>5.7504064076355794</v>
      </c>
      <c r="O504">
        <v>16.392287066246059</v>
      </c>
      <c r="P504">
        <v>24.61781121087115</v>
      </c>
      <c r="Q504">
        <v>253.48073170731709</v>
      </c>
      <c r="R504">
        <v>17.231365728773042</v>
      </c>
    </row>
    <row r="505" spans="1:18" x14ac:dyDescent="0.25">
      <c r="A505" s="1">
        <v>45733</v>
      </c>
      <c r="B505" s="2" t="s">
        <v>30</v>
      </c>
      <c r="C505" s="2" t="s">
        <v>31</v>
      </c>
      <c r="D505" s="2" t="s">
        <v>32</v>
      </c>
      <c r="E505" s="2" t="s">
        <v>38</v>
      </c>
      <c r="F505">
        <v>265195</v>
      </c>
      <c r="G505">
        <v>10327</v>
      </c>
      <c r="H505">
        <v>2049</v>
      </c>
      <c r="I505">
        <v>1182</v>
      </c>
      <c r="J505">
        <v>589</v>
      </c>
      <c r="K505">
        <v>179628.87</v>
      </c>
      <c r="L505">
        <v>4703747.8</v>
      </c>
      <c r="M505" s="2" t="s">
        <v>23</v>
      </c>
      <c r="N505">
        <v>3.8941156507475627</v>
      </c>
      <c r="O505">
        <v>17.39409993221652</v>
      </c>
      <c r="P505">
        <v>19.841192989251478</v>
      </c>
      <c r="Q505">
        <v>304.97261460101868</v>
      </c>
      <c r="R505">
        <v>26.185923231605255</v>
      </c>
    </row>
    <row r="506" spans="1:18" x14ac:dyDescent="0.25">
      <c r="A506" s="1">
        <v>45734</v>
      </c>
      <c r="B506" s="2" t="s">
        <v>30</v>
      </c>
      <c r="C506" s="2" t="s">
        <v>31</v>
      </c>
      <c r="D506" s="2" t="s">
        <v>32</v>
      </c>
      <c r="E506" s="2" t="s">
        <v>38</v>
      </c>
      <c r="F506">
        <v>122661</v>
      </c>
      <c r="G506">
        <v>9777</v>
      </c>
      <c r="H506">
        <v>2435</v>
      </c>
      <c r="I506">
        <v>1113</v>
      </c>
      <c r="J506">
        <v>594</v>
      </c>
      <c r="K506">
        <v>87088.41</v>
      </c>
      <c r="L506">
        <v>4550062.67</v>
      </c>
      <c r="M506" s="2" t="s">
        <v>23</v>
      </c>
      <c r="N506">
        <v>7.9707486487147508</v>
      </c>
      <c r="O506">
        <v>8.9074777539122429</v>
      </c>
      <c r="P506">
        <v>24.905390201493301</v>
      </c>
      <c r="Q506">
        <v>146.61348484848486</v>
      </c>
      <c r="R506">
        <v>52.246477688592542</v>
      </c>
    </row>
    <row r="507" spans="1:18" x14ac:dyDescent="0.25">
      <c r="A507" s="1">
        <v>45735</v>
      </c>
      <c r="B507" s="2" t="s">
        <v>30</v>
      </c>
      <c r="C507" s="2" t="s">
        <v>31</v>
      </c>
      <c r="D507" s="2" t="s">
        <v>32</v>
      </c>
      <c r="E507" s="2" t="s">
        <v>40</v>
      </c>
      <c r="F507">
        <v>256063</v>
      </c>
      <c r="G507">
        <v>19097</v>
      </c>
      <c r="H507">
        <v>2939</v>
      </c>
      <c r="I507">
        <v>1547</v>
      </c>
      <c r="J507">
        <v>914</v>
      </c>
      <c r="K507">
        <v>201254.06</v>
      </c>
      <c r="L507">
        <v>5172875.5</v>
      </c>
      <c r="M507" s="2" t="s">
        <v>21</v>
      </c>
      <c r="N507">
        <v>7.4579302749713943</v>
      </c>
      <c r="O507">
        <v>10.538517044561972</v>
      </c>
      <c r="P507">
        <v>15.389851809184687</v>
      </c>
      <c r="Q507">
        <v>220.19043763676149</v>
      </c>
      <c r="R507">
        <v>25.703210658209827</v>
      </c>
    </row>
    <row r="508" spans="1:18" x14ac:dyDescent="0.25">
      <c r="A508" s="1">
        <v>45736</v>
      </c>
      <c r="B508" s="2" t="s">
        <v>30</v>
      </c>
      <c r="C508" s="2" t="s">
        <v>31</v>
      </c>
      <c r="D508" s="2" t="s">
        <v>32</v>
      </c>
      <c r="E508" s="2" t="s">
        <v>39</v>
      </c>
      <c r="F508">
        <v>107546</v>
      </c>
      <c r="G508">
        <v>4153</v>
      </c>
      <c r="H508">
        <v>907</v>
      </c>
      <c r="I508">
        <v>465</v>
      </c>
      <c r="J508">
        <v>194</v>
      </c>
      <c r="K508">
        <v>97757.51</v>
      </c>
      <c r="L508">
        <v>602706.81000000006</v>
      </c>
      <c r="M508" s="2" t="s">
        <v>19</v>
      </c>
      <c r="N508">
        <v>3.8616034069142504</v>
      </c>
      <c r="O508">
        <v>23.53901035396099</v>
      </c>
      <c r="P508">
        <v>21.839633999518419</v>
      </c>
      <c r="Q508">
        <v>503.90469072164944</v>
      </c>
      <c r="R508">
        <v>6.1653248942204044</v>
      </c>
    </row>
    <row r="509" spans="1:18" x14ac:dyDescent="0.25">
      <c r="A509" s="1">
        <v>45737</v>
      </c>
      <c r="B509" s="2" t="s">
        <v>30</v>
      </c>
      <c r="C509" s="2" t="s">
        <v>31</v>
      </c>
      <c r="D509" s="2" t="s">
        <v>32</v>
      </c>
      <c r="E509" s="2" t="s">
        <v>40</v>
      </c>
      <c r="F509">
        <v>171811</v>
      </c>
      <c r="G509">
        <v>7500</v>
      </c>
      <c r="H509">
        <v>1283</v>
      </c>
      <c r="I509">
        <v>812</v>
      </c>
      <c r="J509">
        <v>351</v>
      </c>
      <c r="K509">
        <v>97292.61</v>
      </c>
      <c r="L509">
        <v>2485360.11</v>
      </c>
      <c r="M509" s="2" t="s">
        <v>22</v>
      </c>
      <c r="N509">
        <v>4.3652618284044671</v>
      </c>
      <c r="O509">
        <v>12.972348</v>
      </c>
      <c r="P509">
        <v>17.106666666666666</v>
      </c>
      <c r="Q509">
        <v>277.18692307692305</v>
      </c>
      <c r="R509">
        <v>25.545209548803346</v>
      </c>
    </row>
    <row r="510" spans="1:18" x14ac:dyDescent="0.25">
      <c r="A510" s="1">
        <v>45738</v>
      </c>
      <c r="B510" s="2" t="s">
        <v>30</v>
      </c>
      <c r="C510" s="2" t="s">
        <v>31</v>
      </c>
      <c r="D510" s="2" t="s">
        <v>32</v>
      </c>
      <c r="E510" s="2" t="s">
        <v>40</v>
      </c>
      <c r="F510">
        <v>299755</v>
      </c>
      <c r="G510">
        <v>10495</v>
      </c>
      <c r="H510">
        <v>1933</v>
      </c>
      <c r="I510">
        <v>948</v>
      </c>
      <c r="J510">
        <v>547</v>
      </c>
      <c r="K510">
        <v>136254.79</v>
      </c>
      <c r="L510">
        <v>3682668.74</v>
      </c>
      <c r="M510" s="2" t="s">
        <v>21</v>
      </c>
      <c r="N510">
        <v>3.5011926406565363</v>
      </c>
      <c r="O510">
        <v>12.98282896617437</v>
      </c>
      <c r="P510">
        <v>18.418294425917104</v>
      </c>
      <c r="Q510">
        <v>249.09468007312617</v>
      </c>
      <c r="R510">
        <v>27.02781120575651</v>
      </c>
    </row>
    <row r="511" spans="1:18" x14ac:dyDescent="0.25">
      <c r="A511" s="1">
        <v>45739</v>
      </c>
      <c r="B511" s="2" t="s">
        <v>30</v>
      </c>
      <c r="C511" s="2" t="s">
        <v>31</v>
      </c>
      <c r="D511" s="2" t="s">
        <v>32</v>
      </c>
      <c r="E511" s="2" t="s">
        <v>40</v>
      </c>
      <c r="F511">
        <v>196757</v>
      </c>
      <c r="G511">
        <v>9869</v>
      </c>
      <c r="H511">
        <v>2126</v>
      </c>
      <c r="I511">
        <v>1008</v>
      </c>
      <c r="J511">
        <v>595</v>
      </c>
      <c r="K511">
        <v>188439.06</v>
      </c>
      <c r="L511">
        <v>4032011.13</v>
      </c>
      <c r="M511" s="2" t="s">
        <v>20</v>
      </c>
      <c r="N511">
        <v>5.0158317111970598</v>
      </c>
      <c r="O511">
        <v>19.094037896443407</v>
      </c>
      <c r="P511">
        <v>21.542202857432365</v>
      </c>
      <c r="Q511">
        <v>316.7043025210084</v>
      </c>
      <c r="R511">
        <v>21.396896853550427</v>
      </c>
    </row>
    <row r="512" spans="1:18" x14ac:dyDescent="0.25">
      <c r="A512" s="1">
        <v>45740</v>
      </c>
      <c r="B512" s="2" t="s">
        <v>30</v>
      </c>
      <c r="C512" s="2" t="s">
        <v>31</v>
      </c>
      <c r="D512" s="2" t="s">
        <v>32</v>
      </c>
      <c r="E512" s="2" t="s">
        <v>39</v>
      </c>
      <c r="F512">
        <v>99084</v>
      </c>
      <c r="G512">
        <v>7882</v>
      </c>
      <c r="H512">
        <v>1585</v>
      </c>
      <c r="I512">
        <v>875</v>
      </c>
      <c r="J512">
        <v>446</v>
      </c>
      <c r="K512">
        <v>56260.32</v>
      </c>
      <c r="L512">
        <v>3403228.57</v>
      </c>
      <c r="M512" s="2" t="s">
        <v>22</v>
      </c>
      <c r="N512">
        <v>7.9548665778531342</v>
      </c>
      <c r="O512">
        <v>7.137822887591982</v>
      </c>
      <c r="P512">
        <v>20.109109363105809</v>
      </c>
      <c r="Q512">
        <v>126.14421524663678</v>
      </c>
      <c r="R512">
        <v>60.49074320942362</v>
      </c>
    </row>
    <row r="513" spans="1:18" x14ac:dyDescent="0.25">
      <c r="A513" s="1">
        <v>45741</v>
      </c>
      <c r="B513" s="2" t="s">
        <v>30</v>
      </c>
      <c r="C513" s="2" t="s">
        <v>31</v>
      </c>
      <c r="D513" s="2" t="s">
        <v>32</v>
      </c>
      <c r="E513" s="2" t="s">
        <v>39</v>
      </c>
      <c r="F513">
        <v>151038</v>
      </c>
      <c r="G513">
        <v>4667</v>
      </c>
      <c r="H513">
        <v>856</v>
      </c>
      <c r="I513">
        <v>417</v>
      </c>
      <c r="J513">
        <v>238</v>
      </c>
      <c r="K513">
        <v>81008.289999999994</v>
      </c>
      <c r="L513">
        <v>1443400.51</v>
      </c>
      <c r="M513" s="2" t="s">
        <v>22</v>
      </c>
      <c r="N513">
        <v>3.0899508732901655</v>
      </c>
      <c r="O513">
        <v>17.357679451467749</v>
      </c>
      <c r="P513">
        <v>18.341547032354832</v>
      </c>
      <c r="Q513">
        <v>340.37096638655458</v>
      </c>
      <c r="R513">
        <v>17.817935793978616</v>
      </c>
    </row>
    <row r="514" spans="1:18" x14ac:dyDescent="0.25">
      <c r="A514" s="1">
        <v>45742</v>
      </c>
      <c r="B514" s="2" t="s">
        <v>30</v>
      </c>
      <c r="C514" s="2" t="s">
        <v>31</v>
      </c>
      <c r="D514" s="2" t="s">
        <v>32</v>
      </c>
      <c r="E514" s="2" t="s">
        <v>39</v>
      </c>
      <c r="F514">
        <v>261569</v>
      </c>
      <c r="G514">
        <v>10863</v>
      </c>
      <c r="H514">
        <v>2582</v>
      </c>
      <c r="I514">
        <v>1521</v>
      </c>
      <c r="J514">
        <v>869</v>
      </c>
      <c r="K514">
        <v>245885.34</v>
      </c>
      <c r="L514">
        <v>3687397.28</v>
      </c>
      <c r="M514" s="2" t="s">
        <v>22</v>
      </c>
      <c r="N514">
        <v>4.1530150744163112</v>
      </c>
      <c r="O514">
        <v>22.635122894228115</v>
      </c>
      <c r="P514">
        <v>23.768756328822612</v>
      </c>
      <c r="Q514">
        <v>282.95205983889525</v>
      </c>
      <c r="R514">
        <v>14.996409627349072</v>
      </c>
    </row>
    <row r="515" spans="1:18" x14ac:dyDescent="0.25">
      <c r="A515" s="1">
        <v>45743</v>
      </c>
      <c r="B515" s="2" t="s">
        <v>30</v>
      </c>
      <c r="C515" s="2" t="s">
        <v>31</v>
      </c>
      <c r="D515" s="2" t="s">
        <v>32</v>
      </c>
      <c r="E515" s="2" t="s">
        <v>39</v>
      </c>
      <c r="F515">
        <v>242681</v>
      </c>
      <c r="G515">
        <v>16801</v>
      </c>
      <c r="H515">
        <v>3043</v>
      </c>
      <c r="I515">
        <v>1834</v>
      </c>
      <c r="J515">
        <v>1029</v>
      </c>
      <c r="K515">
        <v>237908.01</v>
      </c>
      <c r="L515">
        <v>7686272.0700000003</v>
      </c>
      <c r="M515" s="2" t="s">
        <v>22</v>
      </c>
      <c r="N515">
        <v>6.9230800927967167</v>
      </c>
      <c r="O515">
        <v>14.160348193559908</v>
      </c>
      <c r="P515">
        <v>18.112017141836795</v>
      </c>
      <c r="Q515">
        <v>231.20311953352771</v>
      </c>
      <c r="R515">
        <v>32.307748150219908</v>
      </c>
    </row>
    <row r="516" spans="1:18" x14ac:dyDescent="0.25">
      <c r="A516" s="1">
        <v>45744</v>
      </c>
      <c r="B516" s="2" t="s">
        <v>30</v>
      </c>
      <c r="C516" s="2" t="s">
        <v>31</v>
      </c>
      <c r="D516" s="2" t="s">
        <v>32</v>
      </c>
      <c r="E516" s="2" t="s">
        <v>38</v>
      </c>
      <c r="F516">
        <v>141344</v>
      </c>
      <c r="G516">
        <v>6626</v>
      </c>
      <c r="H516">
        <v>1362</v>
      </c>
      <c r="I516">
        <v>827</v>
      </c>
      <c r="J516">
        <v>451</v>
      </c>
      <c r="K516">
        <v>134141.85</v>
      </c>
      <c r="L516">
        <v>1833931.99</v>
      </c>
      <c r="M516" s="2" t="s">
        <v>23</v>
      </c>
      <c r="N516">
        <v>4.6878537468870274</v>
      </c>
      <c r="O516">
        <v>20.244770600664051</v>
      </c>
      <c r="P516">
        <v>20.555387865982492</v>
      </c>
      <c r="Q516">
        <v>297.43203991130821</v>
      </c>
      <c r="R516">
        <v>13.671587129594529</v>
      </c>
    </row>
    <row r="517" spans="1:18" x14ac:dyDescent="0.25">
      <c r="A517" s="1">
        <v>45745</v>
      </c>
      <c r="B517" s="2" t="s">
        <v>30</v>
      </c>
      <c r="C517" s="2" t="s">
        <v>31</v>
      </c>
      <c r="D517" s="2" t="s">
        <v>32</v>
      </c>
      <c r="E517" s="2" t="s">
        <v>39</v>
      </c>
      <c r="F517">
        <v>229820</v>
      </c>
      <c r="G517">
        <v>11047</v>
      </c>
      <c r="H517">
        <v>2019</v>
      </c>
      <c r="I517">
        <v>1120</v>
      </c>
      <c r="J517">
        <v>565</v>
      </c>
      <c r="K517">
        <v>204934.93</v>
      </c>
      <c r="L517">
        <v>2057874.91</v>
      </c>
      <c r="M517" s="2" t="s">
        <v>21</v>
      </c>
      <c r="N517">
        <v>4.8068053259072316</v>
      </c>
      <c r="O517">
        <v>18.551184031863855</v>
      </c>
      <c r="P517">
        <v>18.276455146193538</v>
      </c>
      <c r="Q517">
        <v>362.7166902654867</v>
      </c>
      <c r="R517">
        <v>10.041601546403045</v>
      </c>
    </row>
    <row r="518" spans="1:18" x14ac:dyDescent="0.25">
      <c r="A518" s="1">
        <v>45746</v>
      </c>
      <c r="B518" s="2" t="s">
        <v>30</v>
      </c>
      <c r="C518" s="2" t="s">
        <v>31</v>
      </c>
      <c r="D518" s="2" t="s">
        <v>32</v>
      </c>
      <c r="E518" s="2" t="s">
        <v>40</v>
      </c>
      <c r="F518">
        <v>67576</v>
      </c>
      <c r="G518">
        <v>2896</v>
      </c>
      <c r="H518">
        <v>633</v>
      </c>
      <c r="I518">
        <v>348</v>
      </c>
      <c r="J518">
        <v>156</v>
      </c>
      <c r="K518">
        <v>59665.14</v>
      </c>
      <c r="L518">
        <v>761451.63</v>
      </c>
      <c r="M518" s="2" t="s">
        <v>20</v>
      </c>
      <c r="N518">
        <v>4.2855451639635378</v>
      </c>
      <c r="O518">
        <v>20.602603591160221</v>
      </c>
      <c r="P518">
        <v>21.857734806629832</v>
      </c>
      <c r="Q518">
        <v>382.46884615384613</v>
      </c>
      <c r="R518">
        <v>12.762085700293337</v>
      </c>
    </row>
    <row r="519" spans="1:18" x14ac:dyDescent="0.25">
      <c r="A519" s="1">
        <v>45747</v>
      </c>
      <c r="B519" s="2" t="s">
        <v>30</v>
      </c>
      <c r="C519" s="2" t="s">
        <v>31</v>
      </c>
      <c r="D519" s="2" t="s">
        <v>32</v>
      </c>
      <c r="E519" s="2" t="s">
        <v>39</v>
      </c>
      <c r="F519">
        <v>203412</v>
      </c>
      <c r="G519">
        <v>13404</v>
      </c>
      <c r="H519">
        <v>3282</v>
      </c>
      <c r="I519">
        <v>1607</v>
      </c>
      <c r="J519">
        <v>645</v>
      </c>
      <c r="K519">
        <v>201828.55</v>
      </c>
      <c r="L519">
        <v>2389203.56</v>
      </c>
      <c r="M519" s="2" t="s">
        <v>20</v>
      </c>
      <c r="N519">
        <v>6.5895817355908202</v>
      </c>
      <c r="O519">
        <v>15.057337361981498</v>
      </c>
      <c r="P519">
        <v>24.485228290062668</v>
      </c>
      <c r="Q519">
        <v>312.91248062015501</v>
      </c>
      <c r="R519">
        <v>11.837787864997297</v>
      </c>
    </row>
    <row r="520" spans="1:18" x14ac:dyDescent="0.25">
      <c r="A520" s="1">
        <v>45748</v>
      </c>
      <c r="B520" s="2" t="s">
        <v>30</v>
      </c>
      <c r="C520" s="2" t="s">
        <v>31</v>
      </c>
      <c r="D520" s="2" t="s">
        <v>32</v>
      </c>
      <c r="E520" s="2" t="s">
        <v>39</v>
      </c>
      <c r="F520">
        <v>188004</v>
      </c>
      <c r="G520">
        <v>6449</v>
      </c>
      <c r="H520">
        <v>1209</v>
      </c>
      <c r="I520">
        <v>590</v>
      </c>
      <c r="J520">
        <v>328</v>
      </c>
      <c r="K520">
        <v>130079.38</v>
      </c>
      <c r="L520">
        <v>1460235.88</v>
      </c>
      <c r="M520" s="2" t="s">
        <v>19</v>
      </c>
      <c r="N520">
        <v>3.4302461649752134</v>
      </c>
      <c r="O520">
        <v>20.170472941541323</v>
      </c>
      <c r="P520">
        <v>18.747092572491859</v>
      </c>
      <c r="Q520">
        <v>396.58347560975614</v>
      </c>
      <c r="R520">
        <v>11.225729089422165</v>
      </c>
    </row>
    <row r="521" spans="1:18" x14ac:dyDescent="0.25">
      <c r="A521" s="1">
        <v>45749</v>
      </c>
      <c r="B521" s="2" t="s">
        <v>30</v>
      </c>
      <c r="C521" s="2" t="s">
        <v>31</v>
      </c>
      <c r="D521" s="2" t="s">
        <v>32</v>
      </c>
      <c r="E521" s="2" t="s">
        <v>39</v>
      </c>
      <c r="F521">
        <v>126338</v>
      </c>
      <c r="G521">
        <v>5512</v>
      </c>
      <c r="H521">
        <v>1277</v>
      </c>
      <c r="I521">
        <v>670</v>
      </c>
      <c r="J521">
        <v>387</v>
      </c>
      <c r="K521">
        <v>68197.679999999993</v>
      </c>
      <c r="L521">
        <v>1772957.17</v>
      </c>
      <c r="M521" s="2" t="s">
        <v>22</v>
      </c>
      <c r="N521">
        <v>4.3628995235004515</v>
      </c>
      <c r="O521">
        <v>12.372583454281566</v>
      </c>
      <c r="P521">
        <v>23.167634252539912</v>
      </c>
      <c r="Q521">
        <v>176.22139534883718</v>
      </c>
      <c r="R521">
        <v>25.997323809255683</v>
      </c>
    </row>
    <row r="522" spans="1:18" x14ac:dyDescent="0.25">
      <c r="A522" s="1">
        <v>45750</v>
      </c>
      <c r="B522" s="2" t="s">
        <v>30</v>
      </c>
      <c r="C522" s="2" t="s">
        <v>31</v>
      </c>
      <c r="D522" s="2" t="s">
        <v>32</v>
      </c>
      <c r="E522" s="2" t="s">
        <v>39</v>
      </c>
      <c r="F522">
        <v>183191</v>
      </c>
      <c r="G522">
        <v>6099</v>
      </c>
      <c r="H522">
        <v>1415</v>
      </c>
      <c r="I522">
        <v>770</v>
      </c>
      <c r="J522">
        <v>397</v>
      </c>
      <c r="K522">
        <v>74337.41</v>
      </c>
      <c r="L522">
        <v>1467961.39</v>
      </c>
      <c r="M522" s="2" t="s">
        <v>20</v>
      </c>
      <c r="N522">
        <v>3.3293120295211009</v>
      </c>
      <c r="O522">
        <v>12.188458763731759</v>
      </c>
      <c r="P522">
        <v>23.200524676176425</v>
      </c>
      <c r="Q522">
        <v>187.24788413098238</v>
      </c>
      <c r="R522">
        <v>19.747276505866964</v>
      </c>
    </row>
    <row r="523" spans="1:18" x14ac:dyDescent="0.25">
      <c r="A523" s="1">
        <v>45751</v>
      </c>
      <c r="B523" s="2" t="s">
        <v>30</v>
      </c>
      <c r="C523" s="2" t="s">
        <v>31</v>
      </c>
      <c r="D523" s="2" t="s">
        <v>32</v>
      </c>
      <c r="E523" s="2" t="s">
        <v>39</v>
      </c>
      <c r="F523">
        <v>84849</v>
      </c>
      <c r="G523">
        <v>3217</v>
      </c>
      <c r="H523">
        <v>556</v>
      </c>
      <c r="I523">
        <v>340</v>
      </c>
      <c r="J523">
        <v>176</v>
      </c>
      <c r="K523">
        <v>58482.3</v>
      </c>
      <c r="L523">
        <v>1379402.49</v>
      </c>
      <c r="M523" s="2" t="s">
        <v>22</v>
      </c>
      <c r="N523">
        <v>3.7914412662494548</v>
      </c>
      <c r="O523">
        <v>18.179142057817845</v>
      </c>
      <c r="P523">
        <v>17.283183089835248</v>
      </c>
      <c r="Q523">
        <v>332.28579545454545</v>
      </c>
      <c r="R523">
        <v>23.586666222087707</v>
      </c>
    </row>
    <row r="524" spans="1:18" x14ac:dyDescent="0.25">
      <c r="A524" s="1">
        <v>45752</v>
      </c>
      <c r="B524" s="2" t="s">
        <v>30</v>
      </c>
      <c r="C524" s="2" t="s">
        <v>31</v>
      </c>
      <c r="D524" s="2" t="s">
        <v>32</v>
      </c>
      <c r="E524" s="2" t="s">
        <v>40</v>
      </c>
      <c r="F524">
        <v>197504</v>
      </c>
      <c r="G524">
        <v>8509</v>
      </c>
      <c r="H524">
        <v>1516</v>
      </c>
      <c r="I524">
        <v>789</v>
      </c>
      <c r="J524">
        <v>455</v>
      </c>
      <c r="K524">
        <v>104867.15</v>
      </c>
      <c r="L524">
        <v>3305228.65</v>
      </c>
      <c r="M524" s="2" t="s">
        <v>22</v>
      </c>
      <c r="N524">
        <v>4.3082671743357093</v>
      </c>
      <c r="O524">
        <v>12.324262545540016</v>
      </c>
      <c r="P524">
        <v>17.816429662710071</v>
      </c>
      <c r="Q524">
        <v>230.47725274725275</v>
      </c>
      <c r="R524">
        <v>31.518246181001391</v>
      </c>
    </row>
    <row r="525" spans="1:18" x14ac:dyDescent="0.25">
      <c r="A525" s="1">
        <v>45753</v>
      </c>
      <c r="B525" s="2" t="s">
        <v>30</v>
      </c>
      <c r="C525" s="2" t="s">
        <v>31</v>
      </c>
      <c r="D525" s="2" t="s">
        <v>32</v>
      </c>
      <c r="E525" s="2" t="s">
        <v>40</v>
      </c>
      <c r="F525">
        <v>69154</v>
      </c>
      <c r="G525">
        <v>4707</v>
      </c>
      <c r="H525">
        <v>1042</v>
      </c>
      <c r="I525">
        <v>628</v>
      </c>
      <c r="J525">
        <v>284</v>
      </c>
      <c r="K525">
        <v>35916.58</v>
      </c>
      <c r="L525">
        <v>1254290.1000000001</v>
      </c>
      <c r="M525" s="2" t="s">
        <v>19</v>
      </c>
      <c r="N525">
        <v>6.8065477051219014</v>
      </c>
      <c r="O525">
        <v>7.6304610155088168</v>
      </c>
      <c r="P525">
        <v>22.137242404928831</v>
      </c>
      <c r="Q525">
        <v>126.46683098591549</v>
      </c>
      <c r="R525">
        <v>34.922314429714632</v>
      </c>
    </row>
    <row r="526" spans="1:18" x14ac:dyDescent="0.25">
      <c r="A526" s="1">
        <v>45754</v>
      </c>
      <c r="B526" s="2" t="s">
        <v>30</v>
      </c>
      <c r="C526" s="2" t="s">
        <v>31</v>
      </c>
      <c r="D526" s="2" t="s">
        <v>32</v>
      </c>
      <c r="E526" s="2" t="s">
        <v>39</v>
      </c>
      <c r="F526">
        <v>289761</v>
      </c>
      <c r="G526">
        <v>22640</v>
      </c>
      <c r="H526">
        <v>4750</v>
      </c>
      <c r="I526">
        <v>2972</v>
      </c>
      <c r="J526">
        <v>1259</v>
      </c>
      <c r="K526">
        <v>178162.37</v>
      </c>
      <c r="L526">
        <v>4800373.55</v>
      </c>
      <c r="M526" s="2" t="s">
        <v>22</v>
      </c>
      <c r="N526">
        <v>7.8133358181397767</v>
      </c>
      <c r="O526">
        <v>7.8693626325088335</v>
      </c>
      <c r="P526">
        <v>20.980565371024735</v>
      </c>
      <c r="Q526">
        <v>141.51101667990469</v>
      </c>
      <c r="R526">
        <v>26.943812826468349</v>
      </c>
    </row>
    <row r="527" spans="1:18" x14ac:dyDescent="0.25">
      <c r="A527" s="1">
        <v>45755</v>
      </c>
      <c r="B527" s="2" t="s">
        <v>30</v>
      </c>
      <c r="C527" s="2" t="s">
        <v>31</v>
      </c>
      <c r="D527" s="2" t="s">
        <v>32</v>
      </c>
      <c r="E527" s="2" t="s">
        <v>39</v>
      </c>
      <c r="F527">
        <v>110803</v>
      </c>
      <c r="G527">
        <v>4456</v>
      </c>
      <c r="H527">
        <v>876</v>
      </c>
      <c r="I527">
        <v>468</v>
      </c>
      <c r="J527">
        <v>219</v>
      </c>
      <c r="K527">
        <v>101061.77</v>
      </c>
      <c r="L527">
        <v>951963.17</v>
      </c>
      <c r="M527" s="2" t="s">
        <v>20</v>
      </c>
      <c r="N527">
        <v>4.0215517630389064</v>
      </c>
      <c r="O527">
        <v>22.679930430879715</v>
      </c>
      <c r="P527">
        <v>19.658886894075405</v>
      </c>
      <c r="Q527">
        <v>461.4692694063927</v>
      </c>
      <c r="R527">
        <v>9.41961703223682</v>
      </c>
    </row>
    <row r="528" spans="1:18" x14ac:dyDescent="0.25">
      <c r="A528" s="1">
        <v>45756</v>
      </c>
      <c r="B528" s="2" t="s">
        <v>30</v>
      </c>
      <c r="C528" s="2" t="s">
        <v>31</v>
      </c>
      <c r="D528" s="2" t="s">
        <v>32</v>
      </c>
      <c r="E528" s="2" t="s">
        <v>39</v>
      </c>
      <c r="F528">
        <v>239425</v>
      </c>
      <c r="G528">
        <v>15902</v>
      </c>
      <c r="H528">
        <v>2926</v>
      </c>
      <c r="I528">
        <v>1870</v>
      </c>
      <c r="J528">
        <v>851</v>
      </c>
      <c r="K528">
        <v>148342.78</v>
      </c>
      <c r="L528">
        <v>5872468.4800000004</v>
      </c>
      <c r="M528" s="2" t="s">
        <v>20</v>
      </c>
      <c r="N528">
        <v>6.6417458494309285</v>
      </c>
      <c r="O528">
        <v>9.328561187272042</v>
      </c>
      <c r="P528">
        <v>18.400201232549364</v>
      </c>
      <c r="Q528">
        <v>174.31584018801411</v>
      </c>
      <c r="R528">
        <v>39.587154022595506</v>
      </c>
    </row>
    <row r="529" spans="1:18" x14ac:dyDescent="0.25">
      <c r="A529" s="1">
        <v>45757</v>
      </c>
      <c r="B529" s="2" t="s">
        <v>30</v>
      </c>
      <c r="C529" s="2" t="s">
        <v>31</v>
      </c>
      <c r="D529" s="2" t="s">
        <v>32</v>
      </c>
      <c r="E529" s="2" t="s">
        <v>38</v>
      </c>
      <c r="F529">
        <v>70240</v>
      </c>
      <c r="G529">
        <v>5540</v>
      </c>
      <c r="H529">
        <v>925</v>
      </c>
      <c r="I529">
        <v>577</v>
      </c>
      <c r="J529">
        <v>307</v>
      </c>
      <c r="K529">
        <v>40196.1</v>
      </c>
      <c r="L529">
        <v>1662472.27</v>
      </c>
      <c r="M529" s="2" t="s">
        <v>23</v>
      </c>
      <c r="N529">
        <v>7.8872437357630982</v>
      </c>
      <c r="O529">
        <v>7.2556137184115519</v>
      </c>
      <c r="P529">
        <v>16.696750902527079</v>
      </c>
      <c r="Q529">
        <v>130.93192182410422</v>
      </c>
      <c r="R529">
        <v>41.35904403661052</v>
      </c>
    </row>
    <row r="530" spans="1:18" x14ac:dyDescent="0.25">
      <c r="A530" s="1">
        <v>45758</v>
      </c>
      <c r="B530" s="2" t="s">
        <v>30</v>
      </c>
      <c r="C530" s="2" t="s">
        <v>31</v>
      </c>
      <c r="D530" s="2" t="s">
        <v>32</v>
      </c>
      <c r="E530" s="2" t="s">
        <v>40</v>
      </c>
      <c r="F530">
        <v>138678</v>
      </c>
      <c r="G530">
        <v>6834</v>
      </c>
      <c r="H530">
        <v>1173</v>
      </c>
      <c r="I530">
        <v>590</v>
      </c>
      <c r="J530">
        <v>294</v>
      </c>
      <c r="K530">
        <v>98499.51</v>
      </c>
      <c r="L530">
        <v>1157268.05</v>
      </c>
      <c r="M530" s="2" t="s">
        <v>21</v>
      </c>
      <c r="N530">
        <v>4.9279626184398388</v>
      </c>
      <c r="O530">
        <v>14.413156277436347</v>
      </c>
      <c r="P530">
        <v>17.164179104477611</v>
      </c>
      <c r="Q530">
        <v>335.0323469387755</v>
      </c>
      <c r="R530">
        <v>11.748972659863995</v>
      </c>
    </row>
    <row r="531" spans="1:18" x14ac:dyDescent="0.25">
      <c r="A531" s="1">
        <v>45759</v>
      </c>
      <c r="B531" s="2" t="s">
        <v>30</v>
      </c>
      <c r="C531" s="2" t="s">
        <v>31</v>
      </c>
      <c r="D531" s="2" t="s">
        <v>32</v>
      </c>
      <c r="E531" s="2" t="s">
        <v>39</v>
      </c>
      <c r="F531">
        <v>263247</v>
      </c>
      <c r="G531">
        <v>19300</v>
      </c>
      <c r="H531">
        <v>3627</v>
      </c>
      <c r="I531">
        <v>2251</v>
      </c>
      <c r="J531">
        <v>1126</v>
      </c>
      <c r="K531">
        <v>214028.74</v>
      </c>
      <c r="L531">
        <v>8518494.3200000003</v>
      </c>
      <c r="M531" s="2" t="s">
        <v>19</v>
      </c>
      <c r="N531">
        <v>7.3315175481581933</v>
      </c>
      <c r="O531">
        <v>11.089572020725388</v>
      </c>
      <c r="P531">
        <v>18.792746113989637</v>
      </c>
      <c r="Q531">
        <v>190.07880994671402</v>
      </c>
      <c r="R531">
        <v>39.80070302707945</v>
      </c>
    </row>
    <row r="532" spans="1:18" x14ac:dyDescent="0.25">
      <c r="A532" s="1">
        <v>45760</v>
      </c>
      <c r="B532" s="2" t="s">
        <v>30</v>
      </c>
      <c r="C532" s="2" t="s">
        <v>31</v>
      </c>
      <c r="D532" s="2" t="s">
        <v>32</v>
      </c>
      <c r="E532" s="2" t="s">
        <v>38</v>
      </c>
      <c r="F532">
        <v>171458</v>
      </c>
      <c r="G532">
        <v>10003</v>
      </c>
      <c r="H532">
        <v>1964</v>
      </c>
      <c r="I532">
        <v>1248</v>
      </c>
      <c r="J532">
        <v>648</v>
      </c>
      <c r="K532">
        <v>93164.51</v>
      </c>
      <c r="L532">
        <v>4778046.8099999996</v>
      </c>
      <c r="M532" s="2" t="s">
        <v>21</v>
      </c>
      <c r="N532">
        <v>5.8340818159549279</v>
      </c>
      <c r="O532">
        <v>9.3136569029291199</v>
      </c>
      <c r="P532">
        <v>19.63410976706988</v>
      </c>
      <c r="Q532">
        <v>143.77239197530864</v>
      </c>
      <c r="R532">
        <v>51.286126122490202</v>
      </c>
    </row>
    <row r="533" spans="1:18" x14ac:dyDescent="0.25">
      <c r="A533" s="1">
        <v>45761</v>
      </c>
      <c r="B533" s="2" t="s">
        <v>30</v>
      </c>
      <c r="C533" s="2" t="s">
        <v>31</v>
      </c>
      <c r="D533" s="2" t="s">
        <v>32</v>
      </c>
      <c r="E533" s="2" t="s">
        <v>39</v>
      </c>
      <c r="F533">
        <v>172696</v>
      </c>
      <c r="G533">
        <v>13622</v>
      </c>
      <c r="H533">
        <v>2087</v>
      </c>
      <c r="I533">
        <v>1215</v>
      </c>
      <c r="J533">
        <v>682</v>
      </c>
      <c r="K533">
        <v>172286.34</v>
      </c>
      <c r="L533">
        <v>4380214.3</v>
      </c>
      <c r="M533" s="2" t="s">
        <v>20</v>
      </c>
      <c r="N533">
        <v>7.8878491684810301</v>
      </c>
      <c r="O533">
        <v>12.647653795331081</v>
      </c>
      <c r="P533">
        <v>15.320804580825136</v>
      </c>
      <c r="Q533">
        <v>252.61926686217009</v>
      </c>
      <c r="R533">
        <v>25.424037100097429</v>
      </c>
    </row>
    <row r="534" spans="1:18" x14ac:dyDescent="0.25">
      <c r="A534" s="1">
        <v>45762</v>
      </c>
      <c r="B534" s="2" t="s">
        <v>30</v>
      </c>
      <c r="C534" s="2" t="s">
        <v>31</v>
      </c>
      <c r="D534" s="2" t="s">
        <v>32</v>
      </c>
      <c r="E534" s="2" t="s">
        <v>38</v>
      </c>
      <c r="F534">
        <v>254916</v>
      </c>
      <c r="G534">
        <v>18774</v>
      </c>
      <c r="H534">
        <v>2891</v>
      </c>
      <c r="I534">
        <v>1575</v>
      </c>
      <c r="J534">
        <v>935</v>
      </c>
      <c r="K534">
        <v>166572.54999999999</v>
      </c>
      <c r="L534">
        <v>5819811.4400000004</v>
      </c>
      <c r="M534" s="2" t="s">
        <v>22</v>
      </c>
      <c r="N534">
        <v>7.3647789860189246</v>
      </c>
      <c r="O534">
        <v>8.8725125173111739</v>
      </c>
      <c r="P534">
        <v>15.39895600298285</v>
      </c>
      <c r="Q534">
        <v>178.1524598930481</v>
      </c>
      <c r="R534">
        <v>34.938598466554069</v>
      </c>
    </row>
    <row r="535" spans="1:18" x14ac:dyDescent="0.25">
      <c r="A535" s="1">
        <v>45763</v>
      </c>
      <c r="B535" s="2" t="s">
        <v>30</v>
      </c>
      <c r="C535" s="2" t="s">
        <v>31</v>
      </c>
      <c r="D535" s="2" t="s">
        <v>32</v>
      </c>
      <c r="E535" s="2" t="s">
        <v>38</v>
      </c>
      <c r="F535">
        <v>297311</v>
      </c>
      <c r="G535">
        <v>12824</v>
      </c>
      <c r="H535">
        <v>2266</v>
      </c>
      <c r="I535">
        <v>1065</v>
      </c>
      <c r="J535">
        <v>566</v>
      </c>
      <c r="K535">
        <v>177196.19</v>
      </c>
      <c r="L535">
        <v>4455320.8600000003</v>
      </c>
      <c r="M535" s="2" t="s">
        <v>23</v>
      </c>
      <c r="N535">
        <v>4.3133284674969987</v>
      </c>
      <c r="O535">
        <v>13.817544447910169</v>
      </c>
      <c r="P535">
        <v>17.669993761696816</v>
      </c>
      <c r="Q535">
        <v>313.0674734982332</v>
      </c>
      <c r="R535">
        <v>25.143434856020324</v>
      </c>
    </row>
    <row r="536" spans="1:18" x14ac:dyDescent="0.25">
      <c r="A536" s="1">
        <v>45764</v>
      </c>
      <c r="B536" s="2" t="s">
        <v>30</v>
      </c>
      <c r="C536" s="2" t="s">
        <v>31</v>
      </c>
      <c r="D536" s="2" t="s">
        <v>32</v>
      </c>
      <c r="E536" s="2" t="s">
        <v>39</v>
      </c>
      <c r="F536">
        <v>187876</v>
      </c>
      <c r="G536">
        <v>14537</v>
      </c>
      <c r="H536">
        <v>3326</v>
      </c>
      <c r="I536">
        <v>1964</v>
      </c>
      <c r="J536">
        <v>1057</v>
      </c>
      <c r="K536">
        <v>100656.39</v>
      </c>
      <c r="L536">
        <v>4478372.76</v>
      </c>
      <c r="M536" s="2" t="s">
        <v>22</v>
      </c>
      <c r="N536">
        <v>7.7375502991334706</v>
      </c>
      <c r="O536">
        <v>6.9241514755451607</v>
      </c>
      <c r="P536">
        <v>22.879548737703789</v>
      </c>
      <c r="Q536">
        <v>95.228372753074737</v>
      </c>
      <c r="R536">
        <v>44.491688605164562</v>
      </c>
    </row>
    <row r="537" spans="1:18" x14ac:dyDescent="0.25">
      <c r="A537" s="1">
        <v>45765</v>
      </c>
      <c r="B537" s="2" t="s">
        <v>30</v>
      </c>
      <c r="C537" s="2" t="s">
        <v>31</v>
      </c>
      <c r="D537" s="2" t="s">
        <v>32</v>
      </c>
      <c r="E537" s="2" t="s">
        <v>38</v>
      </c>
      <c r="F537">
        <v>286470</v>
      </c>
      <c r="G537">
        <v>17503</v>
      </c>
      <c r="H537">
        <v>2821</v>
      </c>
      <c r="I537">
        <v>1744</v>
      </c>
      <c r="J537">
        <v>734</v>
      </c>
      <c r="K537">
        <v>214086.95</v>
      </c>
      <c r="L537">
        <v>2364928.66</v>
      </c>
      <c r="M537" s="2" t="s">
        <v>23</v>
      </c>
      <c r="N537">
        <v>6.1098893426885885</v>
      </c>
      <c r="O537">
        <v>12.231443181168943</v>
      </c>
      <c r="P537">
        <v>16.117237045077985</v>
      </c>
      <c r="Q537">
        <v>291.67159400544961</v>
      </c>
      <c r="R537">
        <v>11.046580186228072</v>
      </c>
    </row>
    <row r="538" spans="1:18" x14ac:dyDescent="0.25">
      <c r="A538" s="1">
        <v>45766</v>
      </c>
      <c r="B538" s="2" t="s">
        <v>30</v>
      </c>
      <c r="C538" s="2" t="s">
        <v>31</v>
      </c>
      <c r="D538" s="2" t="s">
        <v>32</v>
      </c>
      <c r="E538" s="2" t="s">
        <v>39</v>
      </c>
      <c r="F538">
        <v>162404</v>
      </c>
      <c r="G538">
        <v>11970</v>
      </c>
      <c r="H538">
        <v>2624</v>
      </c>
      <c r="I538">
        <v>1217</v>
      </c>
      <c r="J538">
        <v>633</v>
      </c>
      <c r="K538">
        <v>107823.72</v>
      </c>
      <c r="L538">
        <v>4731468.72</v>
      </c>
      <c r="M538" s="2" t="s">
        <v>22</v>
      </c>
      <c r="N538">
        <v>7.3705081155636565</v>
      </c>
      <c r="O538">
        <v>9.0078295739348366</v>
      </c>
      <c r="P538">
        <v>21.921470342522976</v>
      </c>
      <c r="Q538">
        <v>170.33763033175356</v>
      </c>
      <c r="R538">
        <v>43.881519947558843</v>
      </c>
    </row>
    <row r="539" spans="1:18" x14ac:dyDescent="0.25">
      <c r="A539" s="1">
        <v>45767</v>
      </c>
      <c r="B539" s="2" t="s">
        <v>30</v>
      </c>
      <c r="C539" s="2" t="s">
        <v>31</v>
      </c>
      <c r="D539" s="2" t="s">
        <v>32</v>
      </c>
      <c r="E539" s="2" t="s">
        <v>40</v>
      </c>
      <c r="F539">
        <v>70773</v>
      </c>
      <c r="G539">
        <v>2354</v>
      </c>
      <c r="H539">
        <v>502</v>
      </c>
      <c r="I539">
        <v>320</v>
      </c>
      <c r="J539">
        <v>137</v>
      </c>
      <c r="K539">
        <v>37944.949999999997</v>
      </c>
      <c r="L539">
        <v>641296.64000000001</v>
      </c>
      <c r="M539" s="2" t="s">
        <v>23</v>
      </c>
      <c r="N539">
        <v>3.3261271953993754</v>
      </c>
      <c r="O539">
        <v>16.119350042480882</v>
      </c>
      <c r="P539">
        <v>21.325403568394222</v>
      </c>
      <c r="Q539">
        <v>276.97043795620436</v>
      </c>
      <c r="R539">
        <v>16.900711161827861</v>
      </c>
    </row>
    <row r="540" spans="1:18" x14ac:dyDescent="0.25">
      <c r="A540" s="1">
        <v>45768</v>
      </c>
      <c r="B540" s="2" t="s">
        <v>30</v>
      </c>
      <c r="C540" s="2" t="s">
        <v>31</v>
      </c>
      <c r="D540" s="2" t="s">
        <v>32</v>
      </c>
      <c r="E540" s="2" t="s">
        <v>40</v>
      </c>
      <c r="F540">
        <v>92159</v>
      </c>
      <c r="G540">
        <v>7283</v>
      </c>
      <c r="H540">
        <v>1706</v>
      </c>
      <c r="I540">
        <v>985</v>
      </c>
      <c r="J540">
        <v>420</v>
      </c>
      <c r="K540">
        <v>83018.34</v>
      </c>
      <c r="L540">
        <v>3155986.73</v>
      </c>
      <c r="M540" s="2" t="s">
        <v>19</v>
      </c>
      <c r="N540">
        <v>7.9026465130915042</v>
      </c>
      <c r="O540">
        <v>11.39892077440615</v>
      </c>
      <c r="P540">
        <v>23.424413016614032</v>
      </c>
      <c r="Q540">
        <v>197.66271428571429</v>
      </c>
      <c r="R540">
        <v>38.015536446524948</v>
      </c>
    </row>
    <row r="541" spans="1:18" x14ac:dyDescent="0.25">
      <c r="A541" s="1">
        <v>45769</v>
      </c>
      <c r="B541" s="2" t="s">
        <v>30</v>
      </c>
      <c r="C541" s="2" t="s">
        <v>31</v>
      </c>
      <c r="D541" s="2" t="s">
        <v>32</v>
      </c>
      <c r="E541" s="2" t="s">
        <v>38</v>
      </c>
      <c r="F541">
        <v>214210</v>
      </c>
      <c r="G541">
        <v>12044</v>
      </c>
      <c r="H541">
        <v>2322</v>
      </c>
      <c r="I541">
        <v>1116</v>
      </c>
      <c r="J541">
        <v>510</v>
      </c>
      <c r="K541">
        <v>92410</v>
      </c>
      <c r="L541">
        <v>4047072.48</v>
      </c>
      <c r="M541" s="2" t="s">
        <v>21</v>
      </c>
      <c r="N541">
        <v>5.6225199570514919</v>
      </c>
      <c r="O541">
        <v>7.6727000996346728</v>
      </c>
      <c r="P541">
        <v>19.27930919960146</v>
      </c>
      <c r="Q541">
        <v>181.19607843137254</v>
      </c>
      <c r="R541">
        <v>43.794746023157664</v>
      </c>
    </row>
    <row r="542" spans="1:18" x14ac:dyDescent="0.25">
      <c r="A542" s="1">
        <v>45770</v>
      </c>
      <c r="B542" s="2" t="s">
        <v>30</v>
      </c>
      <c r="C542" s="2" t="s">
        <v>31</v>
      </c>
      <c r="D542" s="2" t="s">
        <v>32</v>
      </c>
      <c r="E542" s="2" t="s">
        <v>38</v>
      </c>
      <c r="F542">
        <v>89597</v>
      </c>
      <c r="G542">
        <v>3957</v>
      </c>
      <c r="H542">
        <v>914</v>
      </c>
      <c r="I542">
        <v>497</v>
      </c>
      <c r="J542">
        <v>220</v>
      </c>
      <c r="K542">
        <v>56902.12</v>
      </c>
      <c r="L542">
        <v>917613.33</v>
      </c>
      <c r="M542" s="2" t="s">
        <v>21</v>
      </c>
      <c r="N542">
        <v>4.4164425148163442</v>
      </c>
      <c r="O542">
        <v>14.380116249684106</v>
      </c>
      <c r="P542">
        <v>23.098306798079353</v>
      </c>
      <c r="Q542">
        <v>258.64600000000002</v>
      </c>
      <c r="R542">
        <v>16.126171221740066</v>
      </c>
    </row>
    <row r="543" spans="1:18" x14ac:dyDescent="0.25">
      <c r="A543" s="1">
        <v>45771</v>
      </c>
      <c r="B543" s="2" t="s">
        <v>30</v>
      </c>
      <c r="C543" s="2" t="s">
        <v>31</v>
      </c>
      <c r="D543" s="2" t="s">
        <v>32</v>
      </c>
      <c r="E543" s="2" t="s">
        <v>39</v>
      </c>
      <c r="F543">
        <v>219815</v>
      </c>
      <c r="G543">
        <v>15931</v>
      </c>
      <c r="H543">
        <v>2530</v>
      </c>
      <c r="I543">
        <v>1544</v>
      </c>
      <c r="J543">
        <v>888</v>
      </c>
      <c r="K543">
        <v>106057.04</v>
      </c>
      <c r="L543">
        <v>6164863.6699999999</v>
      </c>
      <c r="M543" s="2" t="s">
        <v>22</v>
      </c>
      <c r="N543">
        <v>7.2474580897572958</v>
      </c>
      <c r="O543">
        <v>6.6572744962651429</v>
      </c>
      <c r="P543">
        <v>15.880986755382587</v>
      </c>
      <c r="Q543">
        <v>119.4336036036036</v>
      </c>
      <c r="R543">
        <v>58.127811883114973</v>
      </c>
    </row>
    <row r="544" spans="1:18" x14ac:dyDescent="0.25">
      <c r="A544" s="1">
        <v>45772</v>
      </c>
      <c r="B544" s="2" t="s">
        <v>30</v>
      </c>
      <c r="C544" s="2" t="s">
        <v>31</v>
      </c>
      <c r="D544" s="2" t="s">
        <v>32</v>
      </c>
      <c r="E544" s="2" t="s">
        <v>38</v>
      </c>
      <c r="F544">
        <v>155800</v>
      </c>
      <c r="G544">
        <v>6865</v>
      </c>
      <c r="H544">
        <v>1272</v>
      </c>
      <c r="I544">
        <v>765</v>
      </c>
      <c r="J544">
        <v>363</v>
      </c>
      <c r="K544">
        <v>69361.47</v>
      </c>
      <c r="L544">
        <v>1831892.26</v>
      </c>
      <c r="M544" s="2" t="s">
        <v>21</v>
      </c>
      <c r="N544">
        <v>4.4062901155327339</v>
      </c>
      <c r="O544">
        <v>10.103637290604516</v>
      </c>
      <c r="P544">
        <v>18.528769118718134</v>
      </c>
      <c r="Q544">
        <v>191.07842975206611</v>
      </c>
      <c r="R544">
        <v>26.41080501898244</v>
      </c>
    </row>
    <row r="545" spans="1:18" x14ac:dyDescent="0.25">
      <c r="A545" s="1">
        <v>45773</v>
      </c>
      <c r="B545" s="2" t="s">
        <v>30</v>
      </c>
      <c r="C545" s="2" t="s">
        <v>31</v>
      </c>
      <c r="D545" s="2" t="s">
        <v>32</v>
      </c>
      <c r="E545" s="2" t="s">
        <v>40</v>
      </c>
      <c r="F545">
        <v>78865</v>
      </c>
      <c r="G545">
        <v>2545</v>
      </c>
      <c r="H545">
        <v>595</v>
      </c>
      <c r="I545">
        <v>378</v>
      </c>
      <c r="J545">
        <v>152</v>
      </c>
      <c r="K545">
        <v>70156.08</v>
      </c>
      <c r="L545">
        <v>1136108.8700000001</v>
      </c>
      <c r="M545" s="2" t="s">
        <v>22</v>
      </c>
      <c r="N545">
        <v>3.227033538324986</v>
      </c>
      <c r="O545">
        <v>27.566239685658154</v>
      </c>
      <c r="P545">
        <v>23.379174852652259</v>
      </c>
      <c r="Q545">
        <v>461.55315789473684</v>
      </c>
      <c r="R545">
        <v>16.194018679492928</v>
      </c>
    </row>
    <row r="546" spans="1:18" x14ac:dyDescent="0.25">
      <c r="A546" s="1">
        <v>45774</v>
      </c>
      <c r="B546" s="2" t="s">
        <v>30</v>
      </c>
      <c r="C546" s="2" t="s">
        <v>31</v>
      </c>
      <c r="D546" s="2" t="s">
        <v>32</v>
      </c>
      <c r="E546" s="2" t="s">
        <v>40</v>
      </c>
      <c r="F546">
        <v>106441</v>
      </c>
      <c r="G546">
        <v>7731</v>
      </c>
      <c r="H546">
        <v>1827</v>
      </c>
      <c r="I546">
        <v>1072</v>
      </c>
      <c r="J546">
        <v>449</v>
      </c>
      <c r="K546">
        <v>93059.67</v>
      </c>
      <c r="L546">
        <v>1626663.82</v>
      </c>
      <c r="M546" s="2" t="s">
        <v>22</v>
      </c>
      <c r="N546">
        <v>7.2631786623575501</v>
      </c>
      <c r="O546">
        <v>12.03720993403182</v>
      </c>
      <c r="P546">
        <v>23.632130384167638</v>
      </c>
      <c r="Q546">
        <v>207.25984409799554</v>
      </c>
      <c r="R546">
        <v>17.479793556112977</v>
      </c>
    </row>
    <row r="547" spans="1:18" x14ac:dyDescent="0.25">
      <c r="A547" s="1">
        <v>45775</v>
      </c>
      <c r="B547" s="2" t="s">
        <v>30</v>
      </c>
      <c r="C547" s="2" t="s">
        <v>31</v>
      </c>
      <c r="D547" s="2" t="s">
        <v>32</v>
      </c>
      <c r="E547" s="2" t="s">
        <v>39</v>
      </c>
      <c r="F547">
        <v>108582</v>
      </c>
      <c r="G547">
        <v>6075</v>
      </c>
      <c r="H547">
        <v>1445</v>
      </c>
      <c r="I547">
        <v>861</v>
      </c>
      <c r="J547">
        <v>472</v>
      </c>
      <c r="K547">
        <v>61991.73</v>
      </c>
      <c r="L547">
        <v>2863429.47</v>
      </c>
      <c r="M547" s="2" t="s">
        <v>23</v>
      </c>
      <c r="N547">
        <v>5.5948499751340002</v>
      </c>
      <c r="O547">
        <v>10.2044</v>
      </c>
      <c r="P547">
        <v>23.786008230452673</v>
      </c>
      <c r="Q547">
        <v>131.33841101694915</v>
      </c>
      <c r="R547">
        <v>46.190507508017603</v>
      </c>
    </row>
    <row r="548" spans="1:18" x14ac:dyDescent="0.25">
      <c r="A548" s="1">
        <v>45776</v>
      </c>
      <c r="B548" s="2" t="s">
        <v>30</v>
      </c>
      <c r="C548" s="2" t="s">
        <v>31</v>
      </c>
      <c r="D548" s="2" t="s">
        <v>32</v>
      </c>
      <c r="E548" s="2" t="s">
        <v>39</v>
      </c>
      <c r="F548">
        <v>203313</v>
      </c>
      <c r="G548">
        <v>15538</v>
      </c>
      <c r="H548">
        <v>2353</v>
      </c>
      <c r="I548">
        <v>1144</v>
      </c>
      <c r="J548">
        <v>655</v>
      </c>
      <c r="K548">
        <v>145045.48000000001</v>
      </c>
      <c r="L548">
        <v>4987053.71</v>
      </c>
      <c r="M548" s="2" t="s">
        <v>19</v>
      </c>
      <c r="N548">
        <v>7.6424035846207579</v>
      </c>
      <c r="O548">
        <v>9.3348873728922648</v>
      </c>
      <c r="P548">
        <v>15.143519114429141</v>
      </c>
      <c r="Q548">
        <v>221.44348091603055</v>
      </c>
      <c r="R548">
        <v>34.382689553648966</v>
      </c>
    </row>
    <row r="549" spans="1:18" x14ac:dyDescent="0.25">
      <c r="A549" s="1">
        <v>45777</v>
      </c>
      <c r="B549" s="2" t="s">
        <v>30</v>
      </c>
      <c r="C549" s="2" t="s">
        <v>31</v>
      </c>
      <c r="D549" s="2" t="s">
        <v>32</v>
      </c>
      <c r="E549" s="2" t="s">
        <v>40</v>
      </c>
      <c r="F549">
        <v>220384</v>
      </c>
      <c r="G549">
        <v>8142</v>
      </c>
      <c r="H549">
        <v>1402</v>
      </c>
      <c r="I549">
        <v>907</v>
      </c>
      <c r="J549">
        <v>369</v>
      </c>
      <c r="K549">
        <v>152034.62</v>
      </c>
      <c r="L549">
        <v>2102559.65</v>
      </c>
      <c r="M549" s="2" t="s">
        <v>22</v>
      </c>
      <c r="N549">
        <v>3.6944605779003923</v>
      </c>
      <c r="O549">
        <v>18.672883812331122</v>
      </c>
      <c r="P549">
        <v>17.219356423483173</v>
      </c>
      <c r="Q549">
        <v>412.0179403794038</v>
      </c>
      <c r="R549">
        <v>13.829479430408679</v>
      </c>
    </row>
    <row r="550" spans="1:18" x14ac:dyDescent="0.25">
      <c r="A550" s="1">
        <v>45778</v>
      </c>
      <c r="B550" s="2" t="s">
        <v>33</v>
      </c>
      <c r="C550" s="2" t="s">
        <v>34</v>
      </c>
      <c r="D550" s="2" t="s">
        <v>35</v>
      </c>
      <c r="E550" s="2" t="s">
        <v>41</v>
      </c>
      <c r="F550">
        <v>240139</v>
      </c>
      <c r="G550">
        <v>11309</v>
      </c>
      <c r="H550">
        <v>1987</v>
      </c>
      <c r="I550">
        <v>1165</v>
      </c>
      <c r="J550">
        <v>696</v>
      </c>
      <c r="K550">
        <v>180456.12</v>
      </c>
      <c r="L550">
        <v>4208817.8499999996</v>
      </c>
      <c r="M550" s="2" t="s">
        <v>22</v>
      </c>
      <c r="N550">
        <v>4.7093558314143058</v>
      </c>
      <c r="O550">
        <v>15.956859138739057</v>
      </c>
      <c r="P550">
        <v>17.570076929878859</v>
      </c>
      <c r="Q550">
        <v>259.27603448275863</v>
      </c>
      <c r="R550">
        <v>23.323220348525723</v>
      </c>
    </row>
    <row r="551" spans="1:18" x14ac:dyDescent="0.25">
      <c r="A551" s="1">
        <v>45778</v>
      </c>
      <c r="B551" s="2" t="s">
        <v>30</v>
      </c>
      <c r="C551" s="2" t="s">
        <v>31</v>
      </c>
      <c r="D551" s="2" t="s">
        <v>32</v>
      </c>
      <c r="E551" s="2" t="s">
        <v>39</v>
      </c>
      <c r="F551">
        <v>289903</v>
      </c>
      <c r="G551">
        <v>22942</v>
      </c>
      <c r="H551">
        <v>4003</v>
      </c>
      <c r="I551">
        <v>2536</v>
      </c>
      <c r="J551">
        <v>1136</v>
      </c>
      <c r="K551">
        <v>276281.53000000003</v>
      </c>
      <c r="L551">
        <v>6468438.0599999996</v>
      </c>
      <c r="M551" s="2" t="s">
        <v>21</v>
      </c>
      <c r="N551">
        <v>7.9136814727684772</v>
      </c>
      <c r="O551">
        <v>12.042608752506322</v>
      </c>
      <c r="P551">
        <v>17.448348008020226</v>
      </c>
      <c r="Q551">
        <v>243.20557218309861</v>
      </c>
      <c r="R551">
        <v>23.412488196369836</v>
      </c>
    </row>
    <row r="552" spans="1:18" x14ac:dyDescent="0.25">
      <c r="A552" s="1">
        <v>45779</v>
      </c>
      <c r="B552" s="2" t="s">
        <v>33</v>
      </c>
      <c r="C552" s="2" t="s">
        <v>34</v>
      </c>
      <c r="D552" s="2" t="s">
        <v>35</v>
      </c>
      <c r="E552" s="2" t="s">
        <v>41</v>
      </c>
      <c r="F552">
        <v>145953</v>
      </c>
      <c r="G552">
        <v>6934</v>
      </c>
      <c r="H552">
        <v>1681</v>
      </c>
      <c r="I552">
        <v>974</v>
      </c>
      <c r="J552">
        <v>435</v>
      </c>
      <c r="K552">
        <v>80170.2</v>
      </c>
      <c r="L552">
        <v>2531628.96</v>
      </c>
      <c r="M552" s="2" t="s">
        <v>19</v>
      </c>
      <c r="N552">
        <v>4.750844449925661</v>
      </c>
      <c r="O552">
        <v>11.561897894433228</v>
      </c>
      <c r="P552">
        <v>24.242861263340064</v>
      </c>
      <c r="Q552">
        <v>184.29931034482757</v>
      </c>
      <c r="R552">
        <v>31.578179423276978</v>
      </c>
    </row>
    <row r="553" spans="1:18" x14ac:dyDescent="0.25">
      <c r="A553" s="1">
        <v>45779</v>
      </c>
      <c r="B553" s="2" t="s">
        <v>30</v>
      </c>
      <c r="C553" s="2" t="s">
        <v>31</v>
      </c>
      <c r="D553" s="2" t="s">
        <v>32</v>
      </c>
      <c r="E553" s="2" t="s">
        <v>38</v>
      </c>
      <c r="F553">
        <v>224774</v>
      </c>
      <c r="G553">
        <v>8087</v>
      </c>
      <c r="H553">
        <v>1510</v>
      </c>
      <c r="I553">
        <v>927</v>
      </c>
      <c r="J553">
        <v>437</v>
      </c>
      <c r="K553">
        <v>144246.98000000001</v>
      </c>
      <c r="L553">
        <v>2806122.06</v>
      </c>
      <c r="M553" s="2" t="s">
        <v>22</v>
      </c>
      <c r="N553">
        <v>3.5978360486533143</v>
      </c>
      <c r="O553">
        <v>17.83689625324595</v>
      </c>
      <c r="P553">
        <v>18.671942623964387</v>
      </c>
      <c r="Q553">
        <v>330.08462242562933</v>
      </c>
      <c r="R553">
        <v>19.453593135884024</v>
      </c>
    </row>
    <row r="554" spans="1:18" x14ac:dyDescent="0.25">
      <c r="A554" s="1">
        <v>45780</v>
      </c>
      <c r="B554" s="2" t="s">
        <v>33</v>
      </c>
      <c r="C554" s="2" t="s">
        <v>34</v>
      </c>
      <c r="D554" s="2" t="s">
        <v>35</v>
      </c>
      <c r="E554" s="2" t="s">
        <v>41</v>
      </c>
      <c r="F554">
        <v>125764</v>
      </c>
      <c r="G554">
        <v>4601</v>
      </c>
      <c r="H554">
        <v>978</v>
      </c>
      <c r="I554">
        <v>630</v>
      </c>
      <c r="J554">
        <v>302</v>
      </c>
      <c r="K554">
        <v>67771.58</v>
      </c>
      <c r="L554">
        <v>2349380.39</v>
      </c>
      <c r="M554" s="2" t="s">
        <v>20</v>
      </c>
      <c r="N554">
        <v>3.6584396170605258</v>
      </c>
      <c r="O554">
        <v>14.729750054336014</v>
      </c>
      <c r="P554">
        <v>21.256248641599651</v>
      </c>
      <c r="Q554">
        <v>224.40920529801326</v>
      </c>
      <c r="R554">
        <v>34.666159325192062</v>
      </c>
    </row>
    <row r="555" spans="1:18" x14ac:dyDescent="0.25">
      <c r="A555" s="1">
        <v>45780</v>
      </c>
      <c r="B555" s="2" t="s">
        <v>30</v>
      </c>
      <c r="C555" s="2" t="s">
        <v>31</v>
      </c>
      <c r="D555" s="2" t="s">
        <v>32</v>
      </c>
      <c r="E555" s="2" t="s">
        <v>39</v>
      </c>
      <c r="F555">
        <v>283215</v>
      </c>
      <c r="G555">
        <v>9156</v>
      </c>
      <c r="H555">
        <v>1720</v>
      </c>
      <c r="I555">
        <v>956</v>
      </c>
      <c r="J555">
        <v>382</v>
      </c>
      <c r="K555">
        <v>274488.3</v>
      </c>
      <c r="L555">
        <v>1491751.11</v>
      </c>
      <c r="M555" s="2" t="s">
        <v>21</v>
      </c>
      <c r="N555">
        <v>3.2328796144272016</v>
      </c>
      <c r="O555">
        <v>29.979062909567496</v>
      </c>
      <c r="P555">
        <v>18.785495849716032</v>
      </c>
      <c r="Q555">
        <v>718.55575916230362</v>
      </c>
      <c r="R555">
        <v>5.4346619145515502</v>
      </c>
    </row>
    <row r="556" spans="1:18" x14ac:dyDescent="0.25">
      <c r="A556" s="1">
        <v>45781</v>
      </c>
      <c r="B556" s="2" t="s">
        <v>33</v>
      </c>
      <c r="C556" s="2" t="s">
        <v>34</v>
      </c>
      <c r="D556" s="2" t="s">
        <v>35</v>
      </c>
      <c r="E556" s="2" t="s">
        <v>41</v>
      </c>
      <c r="F556">
        <v>254360</v>
      </c>
      <c r="G556">
        <v>11109</v>
      </c>
      <c r="H556">
        <v>2734</v>
      </c>
      <c r="I556">
        <v>1480</v>
      </c>
      <c r="J556">
        <v>668</v>
      </c>
      <c r="K556">
        <v>226644.84</v>
      </c>
      <c r="L556">
        <v>2792259.85</v>
      </c>
      <c r="M556" s="2" t="s">
        <v>20</v>
      </c>
      <c r="N556">
        <v>4.3674319861613462</v>
      </c>
      <c r="O556">
        <v>20.401911963273022</v>
      </c>
      <c r="P556">
        <v>24.610676028445404</v>
      </c>
      <c r="Q556">
        <v>339.28868263473055</v>
      </c>
      <c r="R556">
        <v>12.319979797466381</v>
      </c>
    </row>
    <row r="557" spans="1:18" x14ac:dyDescent="0.25">
      <c r="A557" s="1">
        <v>45781</v>
      </c>
      <c r="B557" s="2" t="s">
        <v>30</v>
      </c>
      <c r="C557" s="2" t="s">
        <v>31</v>
      </c>
      <c r="D557" s="2" t="s">
        <v>32</v>
      </c>
      <c r="E557" s="2" t="s">
        <v>40</v>
      </c>
      <c r="F557">
        <v>67770</v>
      </c>
      <c r="G557">
        <v>4813</v>
      </c>
      <c r="H557">
        <v>744</v>
      </c>
      <c r="I557">
        <v>355</v>
      </c>
      <c r="J557">
        <v>155</v>
      </c>
      <c r="K557">
        <v>62523.21</v>
      </c>
      <c r="L557">
        <v>1032514.49</v>
      </c>
      <c r="M557" s="2" t="s">
        <v>23</v>
      </c>
      <c r="N557">
        <v>7.1019625202892138</v>
      </c>
      <c r="O557">
        <v>12.990486183253688</v>
      </c>
      <c r="P557">
        <v>15.458134219821318</v>
      </c>
      <c r="Q557">
        <v>403.37554838709679</v>
      </c>
      <c r="R557">
        <v>16.514099164134407</v>
      </c>
    </row>
    <row r="558" spans="1:18" x14ac:dyDescent="0.25">
      <c r="A558" s="1">
        <v>45782</v>
      </c>
      <c r="B558" s="2" t="s">
        <v>33</v>
      </c>
      <c r="C558" s="2" t="s">
        <v>34</v>
      </c>
      <c r="D558" s="2" t="s">
        <v>35</v>
      </c>
      <c r="E558" s="2" t="s">
        <v>41</v>
      </c>
      <c r="F558">
        <v>208578</v>
      </c>
      <c r="G558">
        <v>12706</v>
      </c>
      <c r="H558">
        <v>2381</v>
      </c>
      <c r="I558">
        <v>1311</v>
      </c>
      <c r="J558">
        <v>655</v>
      </c>
      <c r="K558">
        <v>116823.1</v>
      </c>
      <c r="L558">
        <v>2987311.77</v>
      </c>
      <c r="M558" s="2" t="s">
        <v>19</v>
      </c>
      <c r="N558">
        <v>6.0917258771298988</v>
      </c>
      <c r="O558">
        <v>9.1943255155044863</v>
      </c>
      <c r="P558">
        <v>18.739178340941287</v>
      </c>
      <c r="Q558">
        <v>178.35587786259543</v>
      </c>
      <c r="R558">
        <v>25.57124207455546</v>
      </c>
    </row>
    <row r="559" spans="1:18" x14ac:dyDescent="0.25">
      <c r="A559" s="1">
        <v>45782</v>
      </c>
      <c r="B559" s="2" t="s">
        <v>30</v>
      </c>
      <c r="C559" s="2" t="s">
        <v>31</v>
      </c>
      <c r="D559" s="2" t="s">
        <v>32</v>
      </c>
      <c r="E559" s="2" t="s">
        <v>39</v>
      </c>
      <c r="F559">
        <v>104892</v>
      </c>
      <c r="G559">
        <v>8197</v>
      </c>
      <c r="H559">
        <v>1255</v>
      </c>
      <c r="I559">
        <v>616</v>
      </c>
      <c r="J559">
        <v>347</v>
      </c>
      <c r="K559">
        <v>51518.58</v>
      </c>
      <c r="L559">
        <v>2149275.48</v>
      </c>
      <c r="M559" s="2" t="s">
        <v>21</v>
      </c>
      <c r="N559">
        <v>7.8147046485909311</v>
      </c>
      <c r="O559">
        <v>6.2850530681956815</v>
      </c>
      <c r="P559">
        <v>15.310479443698915</v>
      </c>
      <c r="Q559">
        <v>148.46853025936599</v>
      </c>
      <c r="R559">
        <v>41.718453420105909</v>
      </c>
    </row>
    <row r="560" spans="1:18" x14ac:dyDescent="0.25">
      <c r="A560" s="1">
        <v>45783</v>
      </c>
      <c r="B560" s="2" t="s">
        <v>33</v>
      </c>
      <c r="C560" s="2" t="s">
        <v>34</v>
      </c>
      <c r="D560" s="2" t="s">
        <v>35</v>
      </c>
      <c r="E560" s="2" t="s">
        <v>41</v>
      </c>
      <c r="F560">
        <v>174201</v>
      </c>
      <c r="G560">
        <v>12488</v>
      </c>
      <c r="H560">
        <v>2889</v>
      </c>
      <c r="I560">
        <v>1838</v>
      </c>
      <c r="J560">
        <v>796</v>
      </c>
      <c r="K560">
        <v>133968.34</v>
      </c>
      <c r="L560">
        <v>4993434.2300000004</v>
      </c>
      <c r="M560" s="2" t="s">
        <v>19</v>
      </c>
      <c r="N560">
        <v>7.16873037468212</v>
      </c>
      <c r="O560">
        <v>10.727765855221012</v>
      </c>
      <c r="P560">
        <v>23.134208840486867</v>
      </c>
      <c r="Q560">
        <v>168.30193467336682</v>
      </c>
      <c r="R560">
        <v>37.273241050833356</v>
      </c>
    </row>
    <row r="561" spans="1:18" x14ac:dyDescent="0.25">
      <c r="A561" s="1">
        <v>45783</v>
      </c>
      <c r="B561" s="2" t="s">
        <v>30</v>
      </c>
      <c r="C561" s="2" t="s">
        <v>31</v>
      </c>
      <c r="D561" s="2" t="s">
        <v>32</v>
      </c>
      <c r="E561" s="2" t="s">
        <v>39</v>
      </c>
      <c r="F561">
        <v>204932</v>
      </c>
      <c r="G561">
        <v>9551</v>
      </c>
      <c r="H561">
        <v>2028</v>
      </c>
      <c r="I561">
        <v>1175</v>
      </c>
      <c r="J561">
        <v>688</v>
      </c>
      <c r="K561">
        <v>119604.48</v>
      </c>
      <c r="L561">
        <v>2530463.62</v>
      </c>
      <c r="M561" s="2" t="s">
        <v>23</v>
      </c>
      <c r="N561">
        <v>4.6605703355259305</v>
      </c>
      <c r="O561">
        <v>12.522718039995812</v>
      </c>
      <c r="P561">
        <v>21.23337870380065</v>
      </c>
      <c r="Q561">
        <v>173.84372093023256</v>
      </c>
      <c r="R561">
        <v>21.156930074860075</v>
      </c>
    </row>
    <row r="562" spans="1:18" x14ac:dyDescent="0.25">
      <c r="A562" s="1">
        <v>45784</v>
      </c>
      <c r="B562" s="2" t="s">
        <v>33</v>
      </c>
      <c r="C562" s="2" t="s">
        <v>34</v>
      </c>
      <c r="D562" s="2" t="s">
        <v>35</v>
      </c>
      <c r="E562" s="2" t="s">
        <v>41</v>
      </c>
      <c r="F562">
        <v>281251</v>
      </c>
      <c r="G562">
        <v>18428</v>
      </c>
      <c r="H562">
        <v>4606</v>
      </c>
      <c r="I562">
        <v>2913</v>
      </c>
      <c r="J562">
        <v>1585</v>
      </c>
      <c r="K562">
        <v>223349.7</v>
      </c>
      <c r="L562">
        <v>7253636.4699999997</v>
      </c>
      <c r="M562" s="2" t="s">
        <v>22</v>
      </c>
      <c r="N562">
        <v>6.5521544812285111</v>
      </c>
      <c r="O562">
        <v>12.120126980681572</v>
      </c>
      <c r="P562">
        <v>24.994573475146517</v>
      </c>
      <c r="Q562">
        <v>140.91463722397478</v>
      </c>
      <c r="R562">
        <v>32.476589267861115</v>
      </c>
    </row>
    <row r="563" spans="1:18" x14ac:dyDescent="0.25">
      <c r="A563" s="1">
        <v>45784</v>
      </c>
      <c r="B563" s="2" t="s">
        <v>30</v>
      </c>
      <c r="C563" s="2" t="s">
        <v>31</v>
      </c>
      <c r="D563" s="2" t="s">
        <v>32</v>
      </c>
      <c r="E563" s="2" t="s">
        <v>39</v>
      </c>
      <c r="F563">
        <v>126647</v>
      </c>
      <c r="G563">
        <v>7408</v>
      </c>
      <c r="H563">
        <v>1738</v>
      </c>
      <c r="I563">
        <v>883</v>
      </c>
      <c r="J563">
        <v>464</v>
      </c>
      <c r="K563">
        <v>97271.17</v>
      </c>
      <c r="L563">
        <v>1785615.46</v>
      </c>
      <c r="M563" s="2" t="s">
        <v>22</v>
      </c>
      <c r="N563">
        <v>5.8493292379606308</v>
      </c>
      <c r="O563">
        <v>13.130557505399567</v>
      </c>
      <c r="P563">
        <v>23.461123110151188</v>
      </c>
      <c r="Q563">
        <v>209.6361422413793</v>
      </c>
      <c r="R563">
        <v>18.357088333573042</v>
      </c>
    </row>
    <row r="564" spans="1:18" x14ac:dyDescent="0.25">
      <c r="A564" s="1">
        <v>45785</v>
      </c>
      <c r="B564" s="2" t="s">
        <v>33</v>
      </c>
      <c r="C564" s="2" t="s">
        <v>34</v>
      </c>
      <c r="D564" s="2" t="s">
        <v>35</v>
      </c>
      <c r="E564" s="2" t="s">
        <v>41</v>
      </c>
      <c r="F564">
        <v>97979</v>
      </c>
      <c r="G564">
        <v>3175</v>
      </c>
      <c r="H564">
        <v>583</v>
      </c>
      <c r="I564">
        <v>301</v>
      </c>
      <c r="J564">
        <v>168</v>
      </c>
      <c r="K564">
        <v>58564.33</v>
      </c>
      <c r="L564">
        <v>529563.73</v>
      </c>
      <c r="M564" s="2" t="s">
        <v>21</v>
      </c>
      <c r="N564">
        <v>3.2404903091478787</v>
      </c>
      <c r="O564">
        <v>18.445458267716536</v>
      </c>
      <c r="P564">
        <v>18.362204724409448</v>
      </c>
      <c r="Q564">
        <v>348.59720238095241</v>
      </c>
      <c r="R564">
        <v>9.0424278737586512</v>
      </c>
    </row>
    <row r="565" spans="1:18" x14ac:dyDescent="0.25">
      <c r="A565" s="1">
        <v>45785</v>
      </c>
      <c r="B565" s="2" t="s">
        <v>30</v>
      </c>
      <c r="C565" s="2" t="s">
        <v>31</v>
      </c>
      <c r="D565" s="2" t="s">
        <v>32</v>
      </c>
      <c r="E565" s="2" t="s">
        <v>40</v>
      </c>
      <c r="F565">
        <v>154994</v>
      </c>
      <c r="G565">
        <v>5796</v>
      </c>
      <c r="H565">
        <v>1347</v>
      </c>
      <c r="I565">
        <v>863</v>
      </c>
      <c r="J565">
        <v>431</v>
      </c>
      <c r="K565">
        <v>121038.69</v>
      </c>
      <c r="L565">
        <v>2196417.2200000002</v>
      </c>
      <c r="M565" s="2" t="s">
        <v>23</v>
      </c>
      <c r="N565">
        <v>3.7394995935326532</v>
      </c>
      <c r="O565">
        <v>20.883141821946172</v>
      </c>
      <c r="P565">
        <v>23.240165631469981</v>
      </c>
      <c r="Q565">
        <v>280.83222737819028</v>
      </c>
      <c r="R565">
        <v>18.14640607891576</v>
      </c>
    </row>
    <row r="566" spans="1:18" x14ac:dyDescent="0.25">
      <c r="A566" s="1">
        <v>45786</v>
      </c>
      <c r="B566" s="2" t="s">
        <v>33</v>
      </c>
      <c r="C566" s="2" t="s">
        <v>34</v>
      </c>
      <c r="D566" s="2" t="s">
        <v>35</v>
      </c>
      <c r="E566" s="2" t="s">
        <v>41</v>
      </c>
      <c r="F566">
        <v>258980</v>
      </c>
      <c r="G566">
        <v>19662</v>
      </c>
      <c r="H566">
        <v>3598</v>
      </c>
      <c r="I566">
        <v>1763</v>
      </c>
      <c r="J566">
        <v>758</v>
      </c>
      <c r="K566">
        <v>228071.85</v>
      </c>
      <c r="L566">
        <v>4909073.6100000003</v>
      </c>
      <c r="M566" s="2" t="s">
        <v>20</v>
      </c>
      <c r="N566">
        <v>7.5920920534404202</v>
      </c>
      <c r="O566">
        <v>11.599626182483979</v>
      </c>
      <c r="P566">
        <v>18.299257450920557</v>
      </c>
      <c r="Q566">
        <v>300.88634564643803</v>
      </c>
      <c r="R566">
        <v>21.524241637010444</v>
      </c>
    </row>
    <row r="567" spans="1:18" x14ac:dyDescent="0.25">
      <c r="A567" s="1">
        <v>45786</v>
      </c>
      <c r="B567" s="2" t="s">
        <v>30</v>
      </c>
      <c r="C567" s="2" t="s">
        <v>31</v>
      </c>
      <c r="D567" s="2" t="s">
        <v>32</v>
      </c>
      <c r="E567" s="2" t="s">
        <v>39</v>
      </c>
      <c r="F567">
        <v>108431</v>
      </c>
      <c r="G567">
        <v>6177</v>
      </c>
      <c r="H567">
        <v>1134</v>
      </c>
      <c r="I567">
        <v>595</v>
      </c>
      <c r="J567">
        <v>240</v>
      </c>
      <c r="K567">
        <v>100523.61</v>
      </c>
      <c r="L567">
        <v>897404.11</v>
      </c>
      <c r="M567" s="2" t="s">
        <v>21</v>
      </c>
      <c r="N567">
        <v>5.6967103503610588</v>
      </c>
      <c r="O567">
        <v>16.273856240893636</v>
      </c>
      <c r="P567">
        <v>18.358426420592522</v>
      </c>
      <c r="Q567">
        <v>418.84837499999998</v>
      </c>
      <c r="R567">
        <v>8.9272968808024302</v>
      </c>
    </row>
    <row r="568" spans="1:18" x14ac:dyDescent="0.25">
      <c r="A568" s="1">
        <v>45787</v>
      </c>
      <c r="B568" s="2" t="s">
        <v>33</v>
      </c>
      <c r="C568" s="2" t="s">
        <v>34</v>
      </c>
      <c r="D568" s="2" t="s">
        <v>35</v>
      </c>
      <c r="E568" s="2" t="s">
        <v>41</v>
      </c>
      <c r="F568">
        <v>51259</v>
      </c>
      <c r="G568">
        <v>3592</v>
      </c>
      <c r="H568">
        <v>541</v>
      </c>
      <c r="I568">
        <v>312</v>
      </c>
      <c r="J568">
        <v>131</v>
      </c>
      <c r="K568">
        <v>24423.78</v>
      </c>
      <c r="L568">
        <v>722680.3</v>
      </c>
      <c r="M568" s="2" t="s">
        <v>22</v>
      </c>
      <c r="N568">
        <v>7.0075498936772078</v>
      </c>
      <c r="O568">
        <v>6.7994933184855233</v>
      </c>
      <c r="P568">
        <v>15.061247216035634</v>
      </c>
      <c r="Q568">
        <v>186.44106870229007</v>
      </c>
      <c r="R568">
        <v>29.58920773115382</v>
      </c>
    </row>
    <row r="569" spans="1:18" x14ac:dyDescent="0.25">
      <c r="A569" s="1">
        <v>45787</v>
      </c>
      <c r="B569" s="2" t="s">
        <v>30</v>
      </c>
      <c r="C569" s="2" t="s">
        <v>31</v>
      </c>
      <c r="D569" s="2" t="s">
        <v>32</v>
      </c>
      <c r="E569" s="2" t="s">
        <v>39</v>
      </c>
      <c r="F569">
        <v>128908</v>
      </c>
      <c r="G569">
        <v>5068</v>
      </c>
      <c r="H569">
        <v>994</v>
      </c>
      <c r="I569">
        <v>535</v>
      </c>
      <c r="J569">
        <v>273</v>
      </c>
      <c r="K569">
        <v>101891.88</v>
      </c>
      <c r="L569">
        <v>1320648.3600000001</v>
      </c>
      <c r="M569" s="2" t="s">
        <v>22</v>
      </c>
      <c r="N569">
        <v>3.9314860210382601</v>
      </c>
      <c r="O569">
        <v>20.10494869771113</v>
      </c>
      <c r="P569">
        <v>19.613259668508288</v>
      </c>
      <c r="Q569">
        <v>373.2303296703297</v>
      </c>
      <c r="R569">
        <v>12.961271889379214</v>
      </c>
    </row>
    <row r="570" spans="1:18" x14ac:dyDescent="0.25">
      <c r="A570" s="1">
        <v>45788</v>
      </c>
      <c r="B570" s="2" t="s">
        <v>33</v>
      </c>
      <c r="C570" s="2" t="s">
        <v>34</v>
      </c>
      <c r="D570" s="2" t="s">
        <v>35</v>
      </c>
      <c r="E570" s="2" t="s">
        <v>41</v>
      </c>
      <c r="F570">
        <v>107884</v>
      </c>
      <c r="G570">
        <v>5598</v>
      </c>
      <c r="H570">
        <v>1238</v>
      </c>
      <c r="I570">
        <v>596</v>
      </c>
      <c r="J570">
        <v>240</v>
      </c>
      <c r="K570">
        <v>51643.69</v>
      </c>
      <c r="L570">
        <v>862353.37</v>
      </c>
      <c r="M570" s="2" t="s">
        <v>23</v>
      </c>
      <c r="N570">
        <v>5.1889066033888254</v>
      </c>
      <c r="O570">
        <v>9.2253822793854958</v>
      </c>
      <c r="P570">
        <v>22.115041086102181</v>
      </c>
      <c r="Q570">
        <v>215.18204166666666</v>
      </c>
      <c r="R570">
        <v>16.698136209864167</v>
      </c>
    </row>
    <row r="571" spans="1:18" x14ac:dyDescent="0.25">
      <c r="A571" s="1">
        <v>45788</v>
      </c>
      <c r="B571" s="2" t="s">
        <v>30</v>
      </c>
      <c r="C571" s="2" t="s">
        <v>31</v>
      </c>
      <c r="D571" s="2" t="s">
        <v>32</v>
      </c>
      <c r="E571" s="2" t="s">
        <v>39</v>
      </c>
      <c r="F571">
        <v>281759</v>
      </c>
      <c r="G571">
        <v>18036</v>
      </c>
      <c r="H571">
        <v>3182</v>
      </c>
      <c r="I571">
        <v>2035</v>
      </c>
      <c r="J571">
        <v>1042</v>
      </c>
      <c r="K571">
        <v>149263.62</v>
      </c>
      <c r="L571">
        <v>7035403.1900000004</v>
      </c>
      <c r="M571" s="2" t="s">
        <v>22</v>
      </c>
      <c r="N571">
        <v>6.4012152229387524</v>
      </c>
      <c r="O571">
        <v>8.2758715901530273</v>
      </c>
      <c r="P571">
        <v>17.642492792193391</v>
      </c>
      <c r="Q571">
        <v>143.24723608445296</v>
      </c>
      <c r="R571">
        <v>47.134078551759636</v>
      </c>
    </row>
    <row r="572" spans="1:18" x14ac:dyDescent="0.25">
      <c r="A572" s="1">
        <v>45789</v>
      </c>
      <c r="B572" s="2" t="s">
        <v>33</v>
      </c>
      <c r="C572" s="2" t="s">
        <v>34</v>
      </c>
      <c r="D572" s="2" t="s">
        <v>35</v>
      </c>
      <c r="E572" s="2" t="s">
        <v>41</v>
      </c>
      <c r="F572">
        <v>109219</v>
      </c>
      <c r="G572">
        <v>6309</v>
      </c>
      <c r="H572">
        <v>1002</v>
      </c>
      <c r="I572">
        <v>621</v>
      </c>
      <c r="J572">
        <v>302</v>
      </c>
      <c r="K572">
        <v>80141.73</v>
      </c>
      <c r="L572">
        <v>1535750.35</v>
      </c>
      <c r="M572" s="2" t="s">
        <v>22</v>
      </c>
      <c r="N572">
        <v>5.7764674644521552</v>
      </c>
      <c r="O572">
        <v>12.702762719923918</v>
      </c>
      <c r="P572">
        <v>15.882073228720875</v>
      </c>
      <c r="Q572">
        <v>265.36996688741721</v>
      </c>
      <c r="R572">
        <v>19.16292984940555</v>
      </c>
    </row>
    <row r="573" spans="1:18" x14ac:dyDescent="0.25">
      <c r="A573" s="1">
        <v>45789</v>
      </c>
      <c r="B573" s="2" t="s">
        <v>30</v>
      </c>
      <c r="C573" s="2" t="s">
        <v>31</v>
      </c>
      <c r="D573" s="2" t="s">
        <v>32</v>
      </c>
      <c r="E573" s="2" t="s">
        <v>38</v>
      </c>
      <c r="F573">
        <v>56655</v>
      </c>
      <c r="G573">
        <v>3075</v>
      </c>
      <c r="H573">
        <v>664</v>
      </c>
      <c r="I573">
        <v>314</v>
      </c>
      <c r="J573">
        <v>152</v>
      </c>
      <c r="K573">
        <v>22689.88</v>
      </c>
      <c r="L573">
        <v>1129547.78</v>
      </c>
      <c r="M573" s="2" t="s">
        <v>22</v>
      </c>
      <c r="N573">
        <v>5.4275880328302879</v>
      </c>
      <c r="O573">
        <v>7.3788227642276425</v>
      </c>
      <c r="P573">
        <v>21.59349593495935</v>
      </c>
      <c r="Q573">
        <v>149.27552631578948</v>
      </c>
      <c r="R573">
        <v>49.782007661565416</v>
      </c>
    </row>
    <row r="574" spans="1:18" x14ac:dyDescent="0.25">
      <c r="A574" s="1">
        <v>45790</v>
      </c>
      <c r="B574" s="2" t="s">
        <v>33</v>
      </c>
      <c r="C574" s="2" t="s">
        <v>34</v>
      </c>
      <c r="D574" s="2" t="s">
        <v>35</v>
      </c>
      <c r="E574" s="2" t="s">
        <v>41</v>
      </c>
      <c r="F574">
        <v>127468</v>
      </c>
      <c r="G574">
        <v>5926</v>
      </c>
      <c r="H574">
        <v>1247</v>
      </c>
      <c r="I574">
        <v>622</v>
      </c>
      <c r="J574">
        <v>336</v>
      </c>
      <c r="K574">
        <v>101926.37</v>
      </c>
      <c r="L574">
        <v>1859496.88</v>
      </c>
      <c r="M574" s="2" t="s">
        <v>20</v>
      </c>
      <c r="N574">
        <v>4.6490099475946911</v>
      </c>
      <c r="O574">
        <v>17.199859939250757</v>
      </c>
      <c r="P574">
        <v>21.042861964225448</v>
      </c>
      <c r="Q574">
        <v>303.35229166666664</v>
      </c>
      <c r="R574">
        <v>18.243530893918816</v>
      </c>
    </row>
    <row r="575" spans="1:18" x14ac:dyDescent="0.25">
      <c r="A575" s="1">
        <v>45790</v>
      </c>
      <c r="B575" s="2" t="s">
        <v>30</v>
      </c>
      <c r="C575" s="2" t="s">
        <v>31</v>
      </c>
      <c r="D575" s="2" t="s">
        <v>32</v>
      </c>
      <c r="E575" s="2" t="s">
        <v>39</v>
      </c>
      <c r="F575">
        <v>263989</v>
      </c>
      <c r="G575">
        <v>20499</v>
      </c>
      <c r="H575">
        <v>4960</v>
      </c>
      <c r="I575">
        <v>3112</v>
      </c>
      <c r="J575">
        <v>1581</v>
      </c>
      <c r="K575">
        <v>241710.75</v>
      </c>
      <c r="L575">
        <v>10422582.66</v>
      </c>
      <c r="M575" s="2" t="s">
        <v>21</v>
      </c>
      <c r="N575">
        <v>7.7650962729507667</v>
      </c>
      <c r="O575">
        <v>11.791343480169765</v>
      </c>
      <c r="P575">
        <v>24.196302258646764</v>
      </c>
      <c r="Q575">
        <v>152.884724857685</v>
      </c>
      <c r="R575">
        <v>43.120062554106511</v>
      </c>
    </row>
    <row r="576" spans="1:18" x14ac:dyDescent="0.25">
      <c r="A576" s="1">
        <v>45791</v>
      </c>
      <c r="B576" s="2" t="s">
        <v>33</v>
      </c>
      <c r="C576" s="2" t="s">
        <v>34</v>
      </c>
      <c r="D576" s="2" t="s">
        <v>35</v>
      </c>
      <c r="E576" s="2" t="s">
        <v>41</v>
      </c>
      <c r="F576">
        <v>216556</v>
      </c>
      <c r="G576">
        <v>14437</v>
      </c>
      <c r="H576">
        <v>2858</v>
      </c>
      <c r="I576">
        <v>1623</v>
      </c>
      <c r="J576">
        <v>754</v>
      </c>
      <c r="K576">
        <v>187567.69</v>
      </c>
      <c r="L576">
        <v>2602263.33</v>
      </c>
      <c r="M576" s="2" t="s">
        <v>20</v>
      </c>
      <c r="N576">
        <v>6.6666358817118896</v>
      </c>
      <c r="O576">
        <v>12.992151416499272</v>
      </c>
      <c r="P576">
        <v>19.796356583777794</v>
      </c>
      <c r="Q576">
        <v>248.76351458885941</v>
      </c>
      <c r="R576">
        <v>13.873729158790621</v>
      </c>
    </row>
    <row r="577" spans="1:18" x14ac:dyDescent="0.25">
      <c r="A577" s="1">
        <v>45791</v>
      </c>
      <c r="B577" s="2" t="s">
        <v>30</v>
      </c>
      <c r="C577" s="2" t="s">
        <v>31</v>
      </c>
      <c r="D577" s="2" t="s">
        <v>32</v>
      </c>
      <c r="E577" s="2" t="s">
        <v>40</v>
      </c>
      <c r="F577">
        <v>176419</v>
      </c>
      <c r="G577">
        <v>6312</v>
      </c>
      <c r="H577">
        <v>1409</v>
      </c>
      <c r="I577">
        <v>877</v>
      </c>
      <c r="J577">
        <v>517</v>
      </c>
      <c r="K577">
        <v>156086.32</v>
      </c>
      <c r="L577">
        <v>3922073.17</v>
      </c>
      <c r="M577" s="2" t="s">
        <v>20</v>
      </c>
      <c r="N577">
        <v>3.5778459236250066</v>
      </c>
      <c r="O577">
        <v>24.728504435994932</v>
      </c>
      <c r="P577">
        <v>22.322560202788338</v>
      </c>
      <c r="Q577">
        <v>301.90777562862672</v>
      </c>
      <c r="R577">
        <v>25.127590745941092</v>
      </c>
    </row>
    <row r="578" spans="1:18" x14ac:dyDescent="0.25">
      <c r="A578" s="1">
        <v>45792</v>
      </c>
      <c r="B578" s="2" t="s">
        <v>33</v>
      </c>
      <c r="C578" s="2" t="s">
        <v>34</v>
      </c>
      <c r="D578" s="2" t="s">
        <v>35</v>
      </c>
      <c r="E578" s="2" t="s">
        <v>41</v>
      </c>
      <c r="F578">
        <v>104288</v>
      </c>
      <c r="G578">
        <v>4814</v>
      </c>
      <c r="H578">
        <v>768</v>
      </c>
      <c r="I578">
        <v>360</v>
      </c>
      <c r="J578">
        <v>179</v>
      </c>
      <c r="K578">
        <v>86527.19</v>
      </c>
      <c r="L578">
        <v>937902.93</v>
      </c>
      <c r="M578" s="2" t="s">
        <v>19</v>
      </c>
      <c r="N578">
        <v>4.6160632095734888</v>
      </c>
      <c r="O578">
        <v>17.974073535521395</v>
      </c>
      <c r="P578">
        <v>15.953469048608227</v>
      </c>
      <c r="Q578">
        <v>483.39212290502792</v>
      </c>
      <c r="R578">
        <v>10.839401233300192</v>
      </c>
    </row>
    <row r="579" spans="1:18" x14ac:dyDescent="0.25">
      <c r="A579" s="1">
        <v>45792</v>
      </c>
      <c r="B579" s="2" t="s">
        <v>30</v>
      </c>
      <c r="C579" s="2" t="s">
        <v>31</v>
      </c>
      <c r="D579" s="2" t="s">
        <v>32</v>
      </c>
      <c r="E579" s="2" t="s">
        <v>40</v>
      </c>
      <c r="F579">
        <v>246319</v>
      </c>
      <c r="G579">
        <v>18568</v>
      </c>
      <c r="H579">
        <v>2933</v>
      </c>
      <c r="I579">
        <v>1874</v>
      </c>
      <c r="J579">
        <v>956</v>
      </c>
      <c r="K579">
        <v>223803.59</v>
      </c>
      <c r="L579">
        <v>5348861.97</v>
      </c>
      <c r="M579" s="2" t="s">
        <v>22</v>
      </c>
      <c r="N579">
        <v>7.5381923440741474</v>
      </c>
      <c r="O579">
        <v>12.053187742352435</v>
      </c>
      <c r="P579">
        <v>15.795993106419647</v>
      </c>
      <c r="Q579">
        <v>234.10417364016737</v>
      </c>
      <c r="R579">
        <v>23.899804154169285</v>
      </c>
    </row>
    <row r="580" spans="1:18" x14ac:dyDescent="0.25">
      <c r="A580" s="1">
        <v>45793</v>
      </c>
      <c r="B580" s="2" t="s">
        <v>33</v>
      </c>
      <c r="C580" s="2" t="s">
        <v>34</v>
      </c>
      <c r="D580" s="2" t="s">
        <v>35</v>
      </c>
      <c r="E580" s="2" t="s">
        <v>41</v>
      </c>
      <c r="F580">
        <v>272620</v>
      </c>
      <c r="G580">
        <v>19195</v>
      </c>
      <c r="H580">
        <v>3980</v>
      </c>
      <c r="I580">
        <v>1800</v>
      </c>
      <c r="J580">
        <v>723</v>
      </c>
      <c r="K580">
        <v>190013.67</v>
      </c>
      <c r="L580">
        <v>4634332.3600000003</v>
      </c>
      <c r="M580" s="2" t="s">
        <v>21</v>
      </c>
      <c r="N580">
        <v>7.0409361015332701</v>
      </c>
      <c r="O580">
        <v>9.8991232091690549</v>
      </c>
      <c r="P580">
        <v>20.734566293305548</v>
      </c>
      <c r="Q580">
        <v>262.8128215767635</v>
      </c>
      <c r="R580">
        <v>24.389468189315011</v>
      </c>
    </row>
    <row r="581" spans="1:18" x14ac:dyDescent="0.25">
      <c r="A581" s="1">
        <v>45793</v>
      </c>
      <c r="B581" s="2" t="s">
        <v>30</v>
      </c>
      <c r="C581" s="2" t="s">
        <v>31</v>
      </c>
      <c r="D581" s="2" t="s">
        <v>32</v>
      </c>
      <c r="E581" s="2" t="s">
        <v>38</v>
      </c>
      <c r="F581">
        <v>135416</v>
      </c>
      <c r="G581">
        <v>9754</v>
      </c>
      <c r="H581">
        <v>1804</v>
      </c>
      <c r="I581">
        <v>831</v>
      </c>
      <c r="J581">
        <v>444</v>
      </c>
      <c r="K581">
        <v>111777.17</v>
      </c>
      <c r="L581">
        <v>2526118.0699999998</v>
      </c>
      <c r="M581" s="2" t="s">
        <v>19</v>
      </c>
      <c r="N581">
        <v>7.2029893070242812</v>
      </c>
      <c r="O581">
        <v>11.459623744104983</v>
      </c>
      <c r="P581">
        <v>18.494976419930286</v>
      </c>
      <c r="Q581">
        <v>251.75038288288289</v>
      </c>
      <c r="R581">
        <v>22.599588717445609</v>
      </c>
    </row>
    <row r="582" spans="1:18" x14ac:dyDescent="0.25">
      <c r="A582" s="1">
        <v>45794</v>
      </c>
      <c r="B582" s="2" t="s">
        <v>33</v>
      </c>
      <c r="C582" s="2" t="s">
        <v>34</v>
      </c>
      <c r="D582" s="2" t="s">
        <v>35</v>
      </c>
      <c r="E582" s="2" t="s">
        <v>41</v>
      </c>
      <c r="F582">
        <v>205846</v>
      </c>
      <c r="G582">
        <v>16047</v>
      </c>
      <c r="H582">
        <v>2839</v>
      </c>
      <c r="I582">
        <v>1461</v>
      </c>
      <c r="J582">
        <v>602</v>
      </c>
      <c r="K582">
        <v>109111.63</v>
      </c>
      <c r="L582">
        <v>3266642.53</v>
      </c>
      <c r="M582" s="2" t="s">
        <v>22</v>
      </c>
      <c r="N582">
        <v>7.795633629023639</v>
      </c>
      <c r="O582">
        <v>6.799503333956503</v>
      </c>
      <c r="P582">
        <v>17.691780395089424</v>
      </c>
      <c r="Q582">
        <v>181.24855481727576</v>
      </c>
      <c r="R582">
        <v>29.938536616124235</v>
      </c>
    </row>
    <row r="583" spans="1:18" x14ac:dyDescent="0.25">
      <c r="A583" s="1">
        <v>45794</v>
      </c>
      <c r="B583" s="2" t="s">
        <v>30</v>
      </c>
      <c r="C583" s="2" t="s">
        <v>31</v>
      </c>
      <c r="D583" s="2" t="s">
        <v>32</v>
      </c>
      <c r="E583" s="2" t="s">
        <v>38</v>
      </c>
      <c r="F583">
        <v>277369</v>
      </c>
      <c r="G583">
        <v>9937</v>
      </c>
      <c r="H583">
        <v>2473</v>
      </c>
      <c r="I583">
        <v>1558</v>
      </c>
      <c r="J583">
        <v>780</v>
      </c>
      <c r="K583">
        <v>197982.71</v>
      </c>
      <c r="L583">
        <v>4085031.86</v>
      </c>
      <c r="M583" s="2" t="s">
        <v>19</v>
      </c>
      <c r="N583">
        <v>3.5825921425970457</v>
      </c>
      <c r="O583">
        <v>19.923790882560127</v>
      </c>
      <c r="P583">
        <v>24.886786756566366</v>
      </c>
      <c r="Q583">
        <v>253.82398717948718</v>
      </c>
      <c r="R583">
        <v>20.633275804740727</v>
      </c>
    </row>
    <row r="584" spans="1:18" x14ac:dyDescent="0.25">
      <c r="A584" s="1">
        <v>45795</v>
      </c>
      <c r="B584" s="2" t="s">
        <v>33</v>
      </c>
      <c r="C584" s="2" t="s">
        <v>34</v>
      </c>
      <c r="D584" s="2" t="s">
        <v>35</v>
      </c>
      <c r="E584" s="2" t="s">
        <v>41</v>
      </c>
      <c r="F584">
        <v>73028</v>
      </c>
      <c r="G584">
        <v>3043</v>
      </c>
      <c r="H584">
        <v>537</v>
      </c>
      <c r="I584">
        <v>345</v>
      </c>
      <c r="J584">
        <v>157</v>
      </c>
      <c r="K584">
        <v>45541.08</v>
      </c>
      <c r="L584">
        <v>698667.79</v>
      </c>
      <c r="M584" s="2" t="s">
        <v>20</v>
      </c>
      <c r="N584">
        <v>4.166894889631374</v>
      </c>
      <c r="O584">
        <v>14.965849490634243</v>
      </c>
      <c r="P584">
        <v>17.647058823529413</v>
      </c>
      <c r="Q584">
        <v>290.07057324840764</v>
      </c>
      <c r="R584">
        <v>15.341484874754837</v>
      </c>
    </row>
    <row r="585" spans="1:18" x14ac:dyDescent="0.25">
      <c r="A585" s="1">
        <v>45795</v>
      </c>
      <c r="B585" s="2" t="s">
        <v>30</v>
      </c>
      <c r="C585" s="2" t="s">
        <v>31</v>
      </c>
      <c r="D585" s="2" t="s">
        <v>32</v>
      </c>
      <c r="E585" s="2" t="s">
        <v>38</v>
      </c>
      <c r="F585">
        <v>154431</v>
      </c>
      <c r="G585">
        <v>8758</v>
      </c>
      <c r="H585">
        <v>1526</v>
      </c>
      <c r="I585">
        <v>770</v>
      </c>
      <c r="J585">
        <v>401</v>
      </c>
      <c r="K585">
        <v>67378.69</v>
      </c>
      <c r="L585">
        <v>3182834.15</v>
      </c>
      <c r="M585" s="2" t="s">
        <v>23</v>
      </c>
      <c r="N585">
        <v>5.6711411568920749</v>
      </c>
      <c r="O585">
        <v>7.6933877597625031</v>
      </c>
      <c r="P585">
        <v>17.424069422242521</v>
      </c>
      <c r="Q585">
        <v>168.02665835411472</v>
      </c>
      <c r="R585">
        <v>47.237993941407879</v>
      </c>
    </row>
    <row r="586" spans="1:18" x14ac:dyDescent="0.25">
      <c r="A586" s="1">
        <v>45796</v>
      </c>
      <c r="B586" s="2" t="s">
        <v>33</v>
      </c>
      <c r="C586" s="2" t="s">
        <v>34</v>
      </c>
      <c r="D586" s="2" t="s">
        <v>35</v>
      </c>
      <c r="E586" s="2" t="s">
        <v>41</v>
      </c>
      <c r="F586">
        <v>129271</v>
      </c>
      <c r="G586">
        <v>8596</v>
      </c>
      <c r="H586">
        <v>1731</v>
      </c>
      <c r="I586">
        <v>909</v>
      </c>
      <c r="J586">
        <v>413</v>
      </c>
      <c r="K586">
        <v>61223.519999999997</v>
      </c>
      <c r="L586">
        <v>3212616.4</v>
      </c>
      <c r="M586" s="2" t="s">
        <v>21</v>
      </c>
      <c r="N586">
        <v>6.6495965839206015</v>
      </c>
      <c r="O586">
        <v>7.122326663564448</v>
      </c>
      <c r="P586">
        <v>20.137273150302466</v>
      </c>
      <c r="Q586">
        <v>148.24096852300241</v>
      </c>
      <c r="R586">
        <v>52.473565714614253</v>
      </c>
    </row>
    <row r="587" spans="1:18" x14ac:dyDescent="0.25">
      <c r="A587" s="1">
        <v>45796</v>
      </c>
      <c r="B587" s="2" t="s">
        <v>30</v>
      </c>
      <c r="C587" s="2" t="s">
        <v>31</v>
      </c>
      <c r="D587" s="2" t="s">
        <v>32</v>
      </c>
      <c r="E587" s="2" t="s">
        <v>40</v>
      </c>
      <c r="F587">
        <v>294707</v>
      </c>
      <c r="G587">
        <v>9304</v>
      </c>
      <c r="H587">
        <v>1777</v>
      </c>
      <c r="I587">
        <v>925</v>
      </c>
      <c r="J587">
        <v>464</v>
      </c>
      <c r="K587">
        <v>171711.35</v>
      </c>
      <c r="L587">
        <v>1435655.76</v>
      </c>
      <c r="M587" s="2" t="s">
        <v>22</v>
      </c>
      <c r="N587">
        <v>3.157033935400245</v>
      </c>
      <c r="O587">
        <v>18.455648108340501</v>
      </c>
      <c r="P587">
        <v>19.099312123817715</v>
      </c>
      <c r="Q587">
        <v>370.06756465517242</v>
      </c>
      <c r="R587">
        <v>8.3608670015115489</v>
      </c>
    </row>
    <row r="588" spans="1:18" x14ac:dyDescent="0.25">
      <c r="A588" s="1">
        <v>45797</v>
      </c>
      <c r="B588" s="2" t="s">
        <v>33</v>
      </c>
      <c r="C588" s="2" t="s">
        <v>34</v>
      </c>
      <c r="D588" s="2" t="s">
        <v>35</v>
      </c>
      <c r="E588" s="2" t="s">
        <v>41</v>
      </c>
      <c r="F588">
        <v>163842</v>
      </c>
      <c r="G588">
        <v>7426</v>
      </c>
      <c r="H588">
        <v>1233</v>
      </c>
      <c r="I588">
        <v>778</v>
      </c>
      <c r="J588">
        <v>374</v>
      </c>
      <c r="K588">
        <v>74194.66</v>
      </c>
      <c r="L588">
        <v>2531863.85</v>
      </c>
      <c r="M588" s="2" t="s">
        <v>20</v>
      </c>
      <c r="N588">
        <v>4.5324153757888697</v>
      </c>
      <c r="O588">
        <v>9.9912011850255862</v>
      </c>
      <c r="P588">
        <v>16.603824400754107</v>
      </c>
      <c r="Q588">
        <v>198.3814438502674</v>
      </c>
      <c r="R588">
        <v>34.124610180840506</v>
      </c>
    </row>
    <row r="589" spans="1:18" x14ac:dyDescent="0.25">
      <c r="A589" s="1">
        <v>45797</v>
      </c>
      <c r="B589" s="2" t="s">
        <v>30</v>
      </c>
      <c r="C589" s="2" t="s">
        <v>31</v>
      </c>
      <c r="D589" s="2" t="s">
        <v>32</v>
      </c>
      <c r="E589" s="2" t="s">
        <v>40</v>
      </c>
      <c r="F589">
        <v>170906</v>
      </c>
      <c r="G589">
        <v>10548</v>
      </c>
      <c r="H589">
        <v>1817</v>
      </c>
      <c r="I589">
        <v>1173</v>
      </c>
      <c r="J589">
        <v>608</v>
      </c>
      <c r="K589">
        <v>123281.41</v>
      </c>
      <c r="L589">
        <v>2911291.7</v>
      </c>
      <c r="M589" s="2" t="s">
        <v>22</v>
      </c>
      <c r="N589">
        <v>6.1718137455677393</v>
      </c>
      <c r="O589">
        <v>11.68765737580584</v>
      </c>
      <c r="P589">
        <v>17.226014410314754</v>
      </c>
      <c r="Q589">
        <v>202.76547697368423</v>
      </c>
      <c r="R589">
        <v>23.615009756945511</v>
      </c>
    </row>
    <row r="590" spans="1:18" x14ac:dyDescent="0.25">
      <c r="A590" s="1">
        <v>45798</v>
      </c>
      <c r="B590" s="2" t="s">
        <v>33</v>
      </c>
      <c r="C590" s="2" t="s">
        <v>34</v>
      </c>
      <c r="D590" s="2" t="s">
        <v>35</v>
      </c>
      <c r="E590" s="2" t="s">
        <v>41</v>
      </c>
      <c r="F590">
        <v>61054</v>
      </c>
      <c r="G590">
        <v>3895</v>
      </c>
      <c r="H590">
        <v>951</v>
      </c>
      <c r="I590">
        <v>543</v>
      </c>
      <c r="J590">
        <v>240</v>
      </c>
      <c r="K590">
        <v>25073.99</v>
      </c>
      <c r="L590">
        <v>1266941.77</v>
      </c>
      <c r="M590" s="2" t="s">
        <v>22</v>
      </c>
      <c r="N590">
        <v>6.3795983883119858</v>
      </c>
      <c r="O590">
        <v>6.437481386392812</v>
      </c>
      <c r="P590">
        <v>24.415917843388961</v>
      </c>
      <c r="Q590">
        <v>104.47495833333333</v>
      </c>
      <c r="R590">
        <v>50.52812775310192</v>
      </c>
    </row>
    <row r="591" spans="1:18" x14ac:dyDescent="0.25">
      <c r="A591" s="1">
        <v>45798</v>
      </c>
      <c r="B591" s="2" t="s">
        <v>30</v>
      </c>
      <c r="C591" s="2" t="s">
        <v>31</v>
      </c>
      <c r="D591" s="2" t="s">
        <v>32</v>
      </c>
      <c r="E591" s="2" t="s">
        <v>39</v>
      </c>
      <c r="F591">
        <v>121352</v>
      </c>
      <c r="G591">
        <v>4064</v>
      </c>
      <c r="H591">
        <v>696</v>
      </c>
      <c r="I591">
        <v>357</v>
      </c>
      <c r="J591">
        <v>180</v>
      </c>
      <c r="K591">
        <v>54958.71</v>
      </c>
      <c r="L591">
        <v>941034.3</v>
      </c>
      <c r="M591" s="2" t="s">
        <v>23</v>
      </c>
      <c r="N591">
        <v>3.3489353286307604</v>
      </c>
      <c r="O591">
        <v>13.523304625984252</v>
      </c>
      <c r="P591">
        <v>17.125984251968504</v>
      </c>
      <c r="Q591">
        <v>305.32616666666667</v>
      </c>
      <c r="R591">
        <v>17.122568924925641</v>
      </c>
    </row>
    <row r="592" spans="1:18" x14ac:dyDescent="0.25">
      <c r="A592" s="1">
        <v>45799</v>
      </c>
      <c r="B592" s="2" t="s">
        <v>33</v>
      </c>
      <c r="C592" s="2" t="s">
        <v>34</v>
      </c>
      <c r="D592" s="2" t="s">
        <v>35</v>
      </c>
      <c r="E592" s="2" t="s">
        <v>41</v>
      </c>
      <c r="F592">
        <v>109881</v>
      </c>
      <c r="G592">
        <v>4764</v>
      </c>
      <c r="H592">
        <v>991</v>
      </c>
      <c r="I592">
        <v>450</v>
      </c>
      <c r="J592">
        <v>232</v>
      </c>
      <c r="K592">
        <v>99134.91</v>
      </c>
      <c r="L592">
        <v>1580447.82</v>
      </c>
      <c r="M592" s="2" t="s">
        <v>20</v>
      </c>
      <c r="N592">
        <v>4.3355994211920175</v>
      </c>
      <c r="O592">
        <v>20.809175062972294</v>
      </c>
      <c r="P592">
        <v>20.801847187237616</v>
      </c>
      <c r="Q592">
        <v>427.30564655172418</v>
      </c>
      <c r="R592">
        <v>15.942394258490777</v>
      </c>
    </row>
    <row r="593" spans="1:18" x14ac:dyDescent="0.25">
      <c r="A593" s="1">
        <v>45799</v>
      </c>
      <c r="B593" s="2" t="s">
        <v>30</v>
      </c>
      <c r="C593" s="2" t="s">
        <v>31</v>
      </c>
      <c r="D593" s="2" t="s">
        <v>32</v>
      </c>
      <c r="E593" s="2" t="s">
        <v>38</v>
      </c>
      <c r="F593">
        <v>228338</v>
      </c>
      <c r="G593">
        <v>16682</v>
      </c>
      <c r="H593">
        <v>2885</v>
      </c>
      <c r="I593">
        <v>1390</v>
      </c>
      <c r="J593">
        <v>593</v>
      </c>
      <c r="K593">
        <v>202855.34</v>
      </c>
      <c r="L593">
        <v>4698879.46</v>
      </c>
      <c r="M593" s="2" t="s">
        <v>22</v>
      </c>
      <c r="N593">
        <v>7.3058360851019106</v>
      </c>
      <c r="O593">
        <v>12.160133077568636</v>
      </c>
      <c r="P593">
        <v>17.2940894377173</v>
      </c>
      <c r="Q593">
        <v>342.08320404721752</v>
      </c>
      <c r="R593">
        <v>23.163696159046147</v>
      </c>
    </row>
    <row r="594" spans="1:18" x14ac:dyDescent="0.25">
      <c r="A594" s="1">
        <v>45800</v>
      </c>
      <c r="B594" s="2" t="s">
        <v>33</v>
      </c>
      <c r="C594" s="2" t="s">
        <v>34</v>
      </c>
      <c r="D594" s="2" t="s">
        <v>35</v>
      </c>
      <c r="E594" s="2" t="s">
        <v>41</v>
      </c>
      <c r="F594">
        <v>138950</v>
      </c>
      <c r="G594">
        <v>8247</v>
      </c>
      <c r="H594">
        <v>1433</v>
      </c>
      <c r="I594">
        <v>743</v>
      </c>
      <c r="J594">
        <v>371</v>
      </c>
      <c r="K594">
        <v>87585.26</v>
      </c>
      <c r="L594">
        <v>2275198.2599999998</v>
      </c>
      <c r="M594" s="2" t="s">
        <v>21</v>
      </c>
      <c r="N594">
        <v>5.935228499460238</v>
      </c>
      <c r="O594">
        <v>10.620257063174487</v>
      </c>
      <c r="P594">
        <v>17.376015520795441</v>
      </c>
      <c r="Q594">
        <v>236.07886792452828</v>
      </c>
      <c r="R594">
        <v>25.97695388470617</v>
      </c>
    </row>
    <row r="595" spans="1:18" x14ac:dyDescent="0.25">
      <c r="A595" s="1">
        <v>45800</v>
      </c>
      <c r="B595" s="2" t="s">
        <v>30</v>
      </c>
      <c r="C595" s="2" t="s">
        <v>31</v>
      </c>
      <c r="D595" s="2" t="s">
        <v>32</v>
      </c>
      <c r="E595" s="2" t="s">
        <v>40</v>
      </c>
      <c r="F595">
        <v>81571</v>
      </c>
      <c r="G595">
        <v>6335</v>
      </c>
      <c r="H595">
        <v>1288</v>
      </c>
      <c r="I595">
        <v>609</v>
      </c>
      <c r="J595">
        <v>288</v>
      </c>
      <c r="K595">
        <v>69379.64</v>
      </c>
      <c r="L595">
        <v>1003969.21</v>
      </c>
      <c r="M595" s="2" t="s">
        <v>20</v>
      </c>
      <c r="N595">
        <v>7.7662404531022053</v>
      </c>
      <c r="O595">
        <v>10.951797947908444</v>
      </c>
      <c r="P595">
        <v>20.331491712707184</v>
      </c>
      <c r="Q595">
        <v>240.90152777777777</v>
      </c>
      <c r="R595">
        <v>14.470660412766627</v>
      </c>
    </row>
    <row r="596" spans="1:18" x14ac:dyDescent="0.25">
      <c r="A596" s="1">
        <v>45801</v>
      </c>
      <c r="B596" s="2" t="s">
        <v>33</v>
      </c>
      <c r="C596" s="2" t="s">
        <v>34</v>
      </c>
      <c r="D596" s="2" t="s">
        <v>35</v>
      </c>
      <c r="E596" s="2" t="s">
        <v>41</v>
      </c>
      <c r="F596">
        <v>261935</v>
      </c>
      <c r="G596">
        <v>11611</v>
      </c>
      <c r="H596">
        <v>1967</v>
      </c>
      <c r="I596">
        <v>1027</v>
      </c>
      <c r="J596">
        <v>604</v>
      </c>
      <c r="K596">
        <v>209519.18</v>
      </c>
      <c r="L596">
        <v>3096991.33</v>
      </c>
      <c r="M596" s="2" t="s">
        <v>20</v>
      </c>
      <c r="N596">
        <v>4.4327791245919794</v>
      </c>
      <c r="O596">
        <v>18.044886745327705</v>
      </c>
      <c r="P596">
        <v>16.94083196968392</v>
      </c>
      <c r="Q596">
        <v>346.88605960264897</v>
      </c>
      <c r="R596">
        <v>14.781421586319688</v>
      </c>
    </row>
    <row r="597" spans="1:18" x14ac:dyDescent="0.25">
      <c r="A597" s="1">
        <v>45801</v>
      </c>
      <c r="B597" s="2" t="s">
        <v>30</v>
      </c>
      <c r="C597" s="2" t="s">
        <v>31</v>
      </c>
      <c r="D597" s="2" t="s">
        <v>32</v>
      </c>
      <c r="E597" s="2" t="s">
        <v>39</v>
      </c>
      <c r="F597">
        <v>107849</v>
      </c>
      <c r="G597">
        <v>6825</v>
      </c>
      <c r="H597">
        <v>1489</v>
      </c>
      <c r="I597">
        <v>749</v>
      </c>
      <c r="J597">
        <v>394</v>
      </c>
      <c r="K597">
        <v>81201.03</v>
      </c>
      <c r="L597">
        <v>1255931.71</v>
      </c>
      <c r="M597" s="2" t="s">
        <v>22</v>
      </c>
      <c r="N597">
        <v>6.3282923346530797</v>
      </c>
      <c r="O597">
        <v>11.897586813186813</v>
      </c>
      <c r="P597">
        <v>21.816849816849818</v>
      </c>
      <c r="Q597">
        <v>206.09398477157359</v>
      </c>
      <c r="R597">
        <v>15.466943091731718</v>
      </c>
    </row>
    <row r="598" spans="1:18" x14ac:dyDescent="0.25">
      <c r="A598" s="1">
        <v>45802</v>
      </c>
      <c r="B598" s="2" t="s">
        <v>33</v>
      </c>
      <c r="C598" s="2" t="s">
        <v>34</v>
      </c>
      <c r="D598" s="2" t="s">
        <v>35</v>
      </c>
      <c r="E598" s="2" t="s">
        <v>41</v>
      </c>
      <c r="F598">
        <v>199889</v>
      </c>
      <c r="G598">
        <v>7676</v>
      </c>
      <c r="H598">
        <v>1181</v>
      </c>
      <c r="I598">
        <v>628</v>
      </c>
      <c r="J598">
        <v>295</v>
      </c>
      <c r="K598">
        <v>160449.25</v>
      </c>
      <c r="L598">
        <v>1422894.37</v>
      </c>
      <c r="M598" s="2" t="s">
        <v>21</v>
      </c>
      <c r="N598">
        <v>3.8401312728564356</v>
      </c>
      <c r="O598">
        <v>20.902716258467951</v>
      </c>
      <c r="P598">
        <v>15.385617509119335</v>
      </c>
      <c r="Q598">
        <v>543.89576271186445</v>
      </c>
      <c r="R598">
        <v>8.8681895988918615</v>
      </c>
    </row>
    <row r="599" spans="1:18" x14ac:dyDescent="0.25">
      <c r="A599" s="1">
        <v>45802</v>
      </c>
      <c r="B599" s="2" t="s">
        <v>30</v>
      </c>
      <c r="C599" s="2" t="s">
        <v>31</v>
      </c>
      <c r="D599" s="2" t="s">
        <v>32</v>
      </c>
      <c r="E599" s="2" t="s">
        <v>38</v>
      </c>
      <c r="F599">
        <v>221701</v>
      </c>
      <c r="G599">
        <v>9472</v>
      </c>
      <c r="H599">
        <v>2148</v>
      </c>
      <c r="I599">
        <v>1063</v>
      </c>
      <c r="J599">
        <v>587</v>
      </c>
      <c r="K599">
        <v>167627.5</v>
      </c>
      <c r="L599">
        <v>3363822.07</v>
      </c>
      <c r="M599" s="2" t="s">
        <v>20</v>
      </c>
      <c r="N599">
        <v>4.2724209633695835</v>
      </c>
      <c r="O599">
        <v>17.697160050675677</v>
      </c>
      <c r="P599">
        <v>22.677364864864867</v>
      </c>
      <c r="Q599">
        <v>285.56643952299828</v>
      </c>
      <c r="R599">
        <v>20.067244753993229</v>
      </c>
    </row>
    <row r="600" spans="1:18" x14ac:dyDescent="0.25">
      <c r="A600" s="1">
        <v>45803</v>
      </c>
      <c r="B600" s="2" t="s">
        <v>33</v>
      </c>
      <c r="C600" s="2" t="s">
        <v>34</v>
      </c>
      <c r="D600" s="2" t="s">
        <v>35</v>
      </c>
      <c r="E600" s="2" t="s">
        <v>41</v>
      </c>
      <c r="F600">
        <v>95432</v>
      </c>
      <c r="G600">
        <v>7312</v>
      </c>
      <c r="H600">
        <v>1525</v>
      </c>
      <c r="I600">
        <v>799</v>
      </c>
      <c r="J600">
        <v>461</v>
      </c>
      <c r="K600">
        <v>75781.679999999993</v>
      </c>
      <c r="L600">
        <v>2142553.8199999998</v>
      </c>
      <c r="M600" s="2" t="s">
        <v>22</v>
      </c>
      <c r="N600">
        <v>7.6620001676586478</v>
      </c>
      <c r="O600">
        <v>10.36401531728665</v>
      </c>
      <c r="P600">
        <v>20.85612691466083</v>
      </c>
      <c r="Q600">
        <v>164.3854229934924</v>
      </c>
      <c r="R600">
        <v>28.272714724719748</v>
      </c>
    </row>
    <row r="601" spans="1:18" x14ac:dyDescent="0.25">
      <c r="A601" s="1">
        <v>45803</v>
      </c>
      <c r="B601" s="2" t="s">
        <v>30</v>
      </c>
      <c r="C601" s="2" t="s">
        <v>31</v>
      </c>
      <c r="D601" s="2" t="s">
        <v>32</v>
      </c>
      <c r="E601" s="2" t="s">
        <v>40</v>
      </c>
      <c r="F601">
        <v>258060</v>
      </c>
      <c r="G601">
        <v>19102</v>
      </c>
      <c r="H601">
        <v>4745</v>
      </c>
      <c r="I601">
        <v>2505</v>
      </c>
      <c r="J601">
        <v>1316</v>
      </c>
      <c r="K601">
        <v>149089.16</v>
      </c>
      <c r="L601">
        <v>8726521.3499999996</v>
      </c>
      <c r="M601" s="2" t="s">
        <v>22</v>
      </c>
      <c r="N601">
        <v>7.4021545377044102</v>
      </c>
      <c r="O601">
        <v>7.8048979164485397</v>
      </c>
      <c r="P601">
        <v>24.84033085540781</v>
      </c>
      <c r="Q601">
        <v>113.28963525835867</v>
      </c>
      <c r="R601">
        <v>58.532232323262129</v>
      </c>
    </row>
    <row r="602" spans="1:18" x14ac:dyDescent="0.25">
      <c r="A602" s="1">
        <v>45804</v>
      </c>
      <c r="B602" s="2" t="s">
        <v>33</v>
      </c>
      <c r="C602" s="2" t="s">
        <v>34</v>
      </c>
      <c r="D602" s="2" t="s">
        <v>35</v>
      </c>
      <c r="E602" s="2" t="s">
        <v>41</v>
      </c>
      <c r="F602">
        <v>161958</v>
      </c>
      <c r="G602">
        <v>8826</v>
      </c>
      <c r="H602">
        <v>1937</v>
      </c>
      <c r="I602">
        <v>906</v>
      </c>
      <c r="J602">
        <v>520</v>
      </c>
      <c r="K602">
        <v>70025.64</v>
      </c>
      <c r="L602">
        <v>3944515.61</v>
      </c>
      <c r="M602" s="2" t="s">
        <v>20</v>
      </c>
      <c r="N602">
        <v>5.4495609972955954</v>
      </c>
      <c r="O602">
        <v>7.9340176750509857</v>
      </c>
      <c r="P602">
        <v>21.946521640607298</v>
      </c>
      <c r="Q602">
        <v>134.66469230769232</v>
      </c>
      <c r="R602">
        <v>56.329590275790409</v>
      </c>
    </row>
    <row r="603" spans="1:18" x14ac:dyDescent="0.25">
      <c r="A603" s="1">
        <v>45804</v>
      </c>
      <c r="B603" s="2" t="s">
        <v>30</v>
      </c>
      <c r="C603" s="2" t="s">
        <v>31</v>
      </c>
      <c r="D603" s="2" t="s">
        <v>32</v>
      </c>
      <c r="E603" s="2" t="s">
        <v>39</v>
      </c>
      <c r="F603">
        <v>298878</v>
      </c>
      <c r="G603">
        <v>16202</v>
      </c>
      <c r="H603">
        <v>3092</v>
      </c>
      <c r="I603">
        <v>1903</v>
      </c>
      <c r="J603">
        <v>1055</v>
      </c>
      <c r="K603">
        <v>156885.57999999999</v>
      </c>
      <c r="L603">
        <v>7149953.9800000004</v>
      </c>
      <c r="M603" s="2" t="s">
        <v>19</v>
      </c>
      <c r="N603">
        <v>5.4209409859541351</v>
      </c>
      <c r="O603">
        <v>9.6830996173311927</v>
      </c>
      <c r="P603">
        <v>19.084063695840019</v>
      </c>
      <c r="Q603">
        <v>148.70671090047392</v>
      </c>
      <c r="R603">
        <v>45.574322254473614</v>
      </c>
    </row>
    <row r="604" spans="1:18" x14ac:dyDescent="0.25">
      <c r="A604" s="1">
        <v>45805</v>
      </c>
      <c r="B604" s="2" t="s">
        <v>33</v>
      </c>
      <c r="C604" s="2" t="s">
        <v>34</v>
      </c>
      <c r="D604" s="2" t="s">
        <v>35</v>
      </c>
      <c r="E604" s="2" t="s">
        <v>41</v>
      </c>
      <c r="F604">
        <v>107903</v>
      </c>
      <c r="G604">
        <v>3524</v>
      </c>
      <c r="H604">
        <v>729</v>
      </c>
      <c r="I604">
        <v>457</v>
      </c>
      <c r="J604">
        <v>206</v>
      </c>
      <c r="K604">
        <v>103430.57</v>
      </c>
      <c r="L604">
        <v>1353200.37</v>
      </c>
      <c r="M604" s="2" t="s">
        <v>19</v>
      </c>
      <c r="N604">
        <v>3.2658962216064431</v>
      </c>
      <c r="O604">
        <v>29.350332009080592</v>
      </c>
      <c r="P604">
        <v>20.686719636776392</v>
      </c>
      <c r="Q604">
        <v>502.09014563106797</v>
      </c>
      <c r="R604">
        <v>13.083176182824864</v>
      </c>
    </row>
    <row r="605" spans="1:18" x14ac:dyDescent="0.25">
      <c r="A605" s="1">
        <v>45805</v>
      </c>
      <c r="B605" s="2" t="s">
        <v>30</v>
      </c>
      <c r="C605" s="2" t="s">
        <v>31</v>
      </c>
      <c r="D605" s="2" t="s">
        <v>32</v>
      </c>
      <c r="E605" s="2" t="s">
        <v>39</v>
      </c>
      <c r="F605">
        <v>173020</v>
      </c>
      <c r="G605">
        <v>10599</v>
      </c>
      <c r="H605">
        <v>1880</v>
      </c>
      <c r="I605">
        <v>1217</v>
      </c>
      <c r="J605">
        <v>720</v>
      </c>
      <c r="K605">
        <v>77910.38</v>
      </c>
      <c r="L605">
        <v>3240631.4</v>
      </c>
      <c r="M605" s="2" t="s">
        <v>20</v>
      </c>
      <c r="N605">
        <v>6.1258814009941052</v>
      </c>
      <c r="O605">
        <v>7.3507293140862346</v>
      </c>
      <c r="P605">
        <v>17.737522407774318</v>
      </c>
      <c r="Q605">
        <v>108.20886111111112</v>
      </c>
      <c r="R605">
        <v>41.594347248723466</v>
      </c>
    </row>
    <row r="606" spans="1:18" x14ac:dyDescent="0.25">
      <c r="A606" s="1">
        <v>45806</v>
      </c>
      <c r="B606" s="2" t="s">
        <v>33</v>
      </c>
      <c r="C606" s="2" t="s">
        <v>34</v>
      </c>
      <c r="D606" s="2" t="s">
        <v>35</v>
      </c>
      <c r="E606" s="2" t="s">
        <v>41</v>
      </c>
      <c r="F606">
        <v>208326</v>
      </c>
      <c r="G606">
        <v>16547</v>
      </c>
      <c r="H606">
        <v>2535</v>
      </c>
      <c r="I606">
        <v>1311</v>
      </c>
      <c r="J606">
        <v>579</v>
      </c>
      <c r="K606">
        <v>128714.62</v>
      </c>
      <c r="L606">
        <v>2105892.5099999998</v>
      </c>
      <c r="M606" s="2" t="s">
        <v>19</v>
      </c>
      <c r="N606">
        <v>7.9428395879534959</v>
      </c>
      <c r="O606">
        <v>7.7787284704175983</v>
      </c>
      <c r="P606">
        <v>15.31999758264338</v>
      </c>
      <c r="Q606">
        <v>222.30504317789291</v>
      </c>
      <c r="R606">
        <v>16.360942603101339</v>
      </c>
    </row>
    <row r="607" spans="1:18" x14ac:dyDescent="0.25">
      <c r="A607" s="1">
        <v>45806</v>
      </c>
      <c r="B607" s="2" t="s">
        <v>30</v>
      </c>
      <c r="C607" s="2" t="s">
        <v>31</v>
      </c>
      <c r="D607" s="2" t="s">
        <v>32</v>
      </c>
      <c r="E607" s="2" t="s">
        <v>38</v>
      </c>
      <c r="F607">
        <v>254367</v>
      </c>
      <c r="G607">
        <v>11373</v>
      </c>
      <c r="H607">
        <v>2455</v>
      </c>
      <c r="I607">
        <v>1286</v>
      </c>
      <c r="J607">
        <v>523</v>
      </c>
      <c r="K607">
        <v>144783.34</v>
      </c>
      <c r="L607">
        <v>3534997.28</v>
      </c>
      <c r="M607" s="2" t="s">
        <v>22</v>
      </c>
      <c r="N607">
        <v>4.4710988453690925</v>
      </c>
      <c r="O607">
        <v>12.730444034115887</v>
      </c>
      <c r="P607">
        <v>21.58621296052053</v>
      </c>
      <c r="Q607">
        <v>276.83239005736135</v>
      </c>
      <c r="R607">
        <v>24.415773803809195</v>
      </c>
    </row>
    <row r="608" spans="1:18" x14ac:dyDescent="0.25">
      <c r="A608" s="1">
        <v>45807</v>
      </c>
      <c r="B608" s="2" t="s">
        <v>33</v>
      </c>
      <c r="C608" s="2" t="s">
        <v>34</v>
      </c>
      <c r="D608" s="2" t="s">
        <v>35</v>
      </c>
      <c r="E608" s="2" t="s">
        <v>41</v>
      </c>
      <c r="F608">
        <v>221642</v>
      </c>
      <c r="G608">
        <v>16515</v>
      </c>
      <c r="H608">
        <v>3805</v>
      </c>
      <c r="I608">
        <v>2059</v>
      </c>
      <c r="J608">
        <v>1044</v>
      </c>
      <c r="K608">
        <v>213043.67</v>
      </c>
      <c r="L608">
        <v>5794495.5199999996</v>
      </c>
      <c r="M608" s="2" t="s">
        <v>21</v>
      </c>
      <c r="N608">
        <v>7.45120509650698</v>
      </c>
      <c r="O608">
        <v>12.90001029367242</v>
      </c>
      <c r="P608">
        <v>23.039660914320315</v>
      </c>
      <c r="Q608">
        <v>204.06481800766284</v>
      </c>
      <c r="R608">
        <v>27.198627962051155</v>
      </c>
    </row>
    <row r="609" spans="1:18" x14ac:dyDescent="0.25">
      <c r="A609" s="1">
        <v>45807</v>
      </c>
      <c r="B609" s="2" t="s">
        <v>30</v>
      </c>
      <c r="C609" s="2" t="s">
        <v>31</v>
      </c>
      <c r="D609" s="2" t="s">
        <v>32</v>
      </c>
      <c r="E609" s="2" t="s">
        <v>39</v>
      </c>
      <c r="F609">
        <v>171248</v>
      </c>
      <c r="G609">
        <v>12218</v>
      </c>
      <c r="H609">
        <v>1850</v>
      </c>
      <c r="I609">
        <v>1118</v>
      </c>
      <c r="J609">
        <v>623</v>
      </c>
      <c r="K609">
        <v>161173.5</v>
      </c>
      <c r="L609">
        <v>4380151.08</v>
      </c>
      <c r="M609" s="2" t="s">
        <v>19</v>
      </c>
      <c r="N609">
        <v>7.1346818648976917</v>
      </c>
      <c r="O609">
        <v>13.191479783925356</v>
      </c>
      <c r="P609">
        <v>15.141594368963823</v>
      </c>
      <c r="Q609">
        <v>258.70545746388444</v>
      </c>
      <c r="R609">
        <v>27.176620722389227</v>
      </c>
    </row>
    <row r="610" spans="1:18" x14ac:dyDescent="0.25">
      <c r="A610" s="1">
        <v>45808</v>
      </c>
      <c r="B610" s="2" t="s">
        <v>33</v>
      </c>
      <c r="C610" s="2" t="s">
        <v>34</v>
      </c>
      <c r="D610" s="2" t="s">
        <v>35</v>
      </c>
      <c r="E610" s="2" t="s">
        <v>41</v>
      </c>
      <c r="F610">
        <v>172441</v>
      </c>
      <c r="G610">
        <v>10888</v>
      </c>
      <c r="H610">
        <v>1929</v>
      </c>
      <c r="I610">
        <v>985</v>
      </c>
      <c r="J610">
        <v>439</v>
      </c>
      <c r="K610">
        <v>111414.3</v>
      </c>
      <c r="L610">
        <v>2807015.16</v>
      </c>
      <c r="M610" s="2" t="s">
        <v>22</v>
      </c>
      <c r="N610">
        <v>6.3140436439129903</v>
      </c>
      <c r="O610">
        <v>10.232760837619399</v>
      </c>
      <c r="P610">
        <v>17.716752387950034</v>
      </c>
      <c r="Q610">
        <v>253.79111617312074</v>
      </c>
      <c r="R610">
        <v>25.194388512067125</v>
      </c>
    </row>
    <row r="611" spans="1:18" x14ac:dyDescent="0.25">
      <c r="A611" s="1">
        <v>45808</v>
      </c>
      <c r="B611" s="2" t="s">
        <v>30</v>
      </c>
      <c r="C611" s="2" t="s">
        <v>31</v>
      </c>
      <c r="D611" s="2" t="s">
        <v>32</v>
      </c>
      <c r="E611" s="2" t="s">
        <v>39</v>
      </c>
      <c r="F611">
        <v>79898</v>
      </c>
      <c r="G611">
        <v>3387</v>
      </c>
      <c r="H611">
        <v>708</v>
      </c>
      <c r="I611">
        <v>348</v>
      </c>
      <c r="J611">
        <v>144</v>
      </c>
      <c r="K611">
        <v>46053.63</v>
      </c>
      <c r="L611">
        <v>664446.17000000004</v>
      </c>
      <c r="M611" s="2" t="s">
        <v>20</v>
      </c>
      <c r="N611">
        <v>4.2391549225262208</v>
      </c>
      <c r="O611">
        <v>13.597174490699734</v>
      </c>
      <c r="P611">
        <v>20.903454384410981</v>
      </c>
      <c r="Q611">
        <v>319.81687499999998</v>
      </c>
      <c r="R611">
        <v>14.427661185448358</v>
      </c>
    </row>
    <row r="612" spans="1:18" x14ac:dyDescent="0.25">
      <c r="A612" s="1">
        <v>45809</v>
      </c>
      <c r="B612" s="2" t="s">
        <v>33</v>
      </c>
      <c r="C612" s="2" t="s">
        <v>34</v>
      </c>
      <c r="D612" s="2" t="s">
        <v>35</v>
      </c>
      <c r="E612" s="2" t="s">
        <v>41</v>
      </c>
      <c r="F612">
        <v>179655</v>
      </c>
      <c r="G612">
        <v>5969</v>
      </c>
      <c r="H612">
        <v>1158</v>
      </c>
      <c r="I612">
        <v>725</v>
      </c>
      <c r="J612">
        <v>292</v>
      </c>
      <c r="K612">
        <v>107637.78</v>
      </c>
      <c r="L612">
        <v>1673092.65</v>
      </c>
      <c r="M612" s="2" t="s">
        <v>21</v>
      </c>
      <c r="N612">
        <v>3.3224791962372322</v>
      </c>
      <c r="O612">
        <v>18.032799463896801</v>
      </c>
      <c r="P612">
        <v>19.400234545149942</v>
      </c>
      <c r="Q612">
        <v>368.62253424657536</v>
      </c>
      <c r="R612">
        <v>15.54373055631582</v>
      </c>
    </row>
    <row r="613" spans="1:18" x14ac:dyDescent="0.25">
      <c r="A613" s="1">
        <v>45810</v>
      </c>
      <c r="B613" s="2" t="s">
        <v>33</v>
      </c>
      <c r="C613" s="2" t="s">
        <v>34</v>
      </c>
      <c r="D613" s="2" t="s">
        <v>35</v>
      </c>
      <c r="E613" s="2" t="s">
        <v>41</v>
      </c>
      <c r="F613">
        <v>112007</v>
      </c>
      <c r="G613">
        <v>7687</v>
      </c>
      <c r="H613">
        <v>1249</v>
      </c>
      <c r="I613">
        <v>590</v>
      </c>
      <c r="J613">
        <v>333</v>
      </c>
      <c r="K613">
        <v>69690.34</v>
      </c>
      <c r="L613">
        <v>1849660.24</v>
      </c>
      <c r="M613" s="2" t="s">
        <v>22</v>
      </c>
      <c r="N613">
        <v>6.8629639218977383</v>
      </c>
      <c r="O613">
        <v>9.0659997398204748</v>
      </c>
      <c r="P613">
        <v>16.248211265773381</v>
      </c>
      <c r="Q613">
        <v>209.2803003003003</v>
      </c>
      <c r="R613">
        <v>26.541128081739881</v>
      </c>
    </row>
    <row r="614" spans="1:18" x14ac:dyDescent="0.25">
      <c r="A614" s="1">
        <v>45811</v>
      </c>
      <c r="B614" s="2" t="s">
        <v>33</v>
      </c>
      <c r="C614" s="2" t="s">
        <v>34</v>
      </c>
      <c r="D614" s="2" t="s">
        <v>35</v>
      </c>
      <c r="E614" s="2" t="s">
        <v>41</v>
      </c>
      <c r="F614">
        <v>77080</v>
      </c>
      <c r="G614">
        <v>2952</v>
      </c>
      <c r="H614">
        <v>558</v>
      </c>
      <c r="I614">
        <v>255</v>
      </c>
      <c r="J614">
        <v>145</v>
      </c>
      <c r="K614">
        <v>53641.08</v>
      </c>
      <c r="L614">
        <v>668676.1</v>
      </c>
      <c r="M614" s="2" t="s">
        <v>21</v>
      </c>
      <c r="N614">
        <v>3.8297872340425529</v>
      </c>
      <c r="O614">
        <v>18.17109756097561</v>
      </c>
      <c r="P614">
        <v>18.902439024390244</v>
      </c>
      <c r="Q614">
        <v>369.93848275862069</v>
      </c>
      <c r="R614">
        <v>12.46574640182487</v>
      </c>
    </row>
    <row r="615" spans="1:18" x14ac:dyDescent="0.25">
      <c r="A615" s="1">
        <v>45812</v>
      </c>
      <c r="B615" s="2" t="s">
        <v>33</v>
      </c>
      <c r="C615" s="2" t="s">
        <v>34</v>
      </c>
      <c r="D615" s="2" t="s">
        <v>35</v>
      </c>
      <c r="E615" s="2" t="s">
        <v>41</v>
      </c>
      <c r="F615">
        <v>247271</v>
      </c>
      <c r="G615">
        <v>13740</v>
      </c>
      <c r="H615">
        <v>2356</v>
      </c>
      <c r="I615">
        <v>1075</v>
      </c>
      <c r="J615">
        <v>541</v>
      </c>
      <c r="K615">
        <v>224942.73</v>
      </c>
      <c r="L615">
        <v>3479855.38</v>
      </c>
      <c r="M615" s="2" t="s">
        <v>22</v>
      </c>
      <c r="N615">
        <v>5.5566564619385206</v>
      </c>
      <c r="O615">
        <v>16.371377729257642</v>
      </c>
      <c r="P615">
        <v>17.147016011644833</v>
      </c>
      <c r="Q615">
        <v>415.7906284658041</v>
      </c>
      <c r="R615">
        <v>15.469961531986385</v>
      </c>
    </row>
    <row r="616" spans="1:18" x14ac:dyDescent="0.25">
      <c r="A616" s="1">
        <v>45813</v>
      </c>
      <c r="B616" s="2" t="s">
        <v>33</v>
      </c>
      <c r="C616" s="2" t="s">
        <v>34</v>
      </c>
      <c r="D616" s="2" t="s">
        <v>35</v>
      </c>
      <c r="E616" s="2" t="s">
        <v>41</v>
      </c>
      <c r="F616">
        <v>228774</v>
      </c>
      <c r="G616">
        <v>15253</v>
      </c>
      <c r="H616">
        <v>3595</v>
      </c>
      <c r="I616">
        <v>2264</v>
      </c>
      <c r="J616">
        <v>989</v>
      </c>
      <c r="K616">
        <v>192239.45</v>
      </c>
      <c r="L616">
        <v>3767177.71</v>
      </c>
      <c r="M616" s="2" t="s">
        <v>19</v>
      </c>
      <c r="N616">
        <v>6.6672786243191968</v>
      </c>
      <c r="O616">
        <v>12.60338621910444</v>
      </c>
      <c r="P616">
        <v>23.569133940864091</v>
      </c>
      <c r="Q616">
        <v>194.37760364004046</v>
      </c>
      <c r="R616">
        <v>19.596278027220738</v>
      </c>
    </row>
    <row r="617" spans="1:18" x14ac:dyDescent="0.25">
      <c r="A617" s="1">
        <v>45814</v>
      </c>
      <c r="B617" s="2" t="s">
        <v>33</v>
      </c>
      <c r="C617" s="2" t="s">
        <v>34</v>
      </c>
      <c r="D617" s="2" t="s">
        <v>35</v>
      </c>
      <c r="E617" s="2" t="s">
        <v>41</v>
      </c>
      <c r="F617">
        <v>140336</v>
      </c>
      <c r="G617">
        <v>10973</v>
      </c>
      <c r="H617">
        <v>2525</v>
      </c>
      <c r="I617">
        <v>1411</v>
      </c>
      <c r="J617">
        <v>738</v>
      </c>
      <c r="K617">
        <v>101941.71</v>
      </c>
      <c r="L617">
        <v>3405726.7</v>
      </c>
      <c r="M617" s="2" t="s">
        <v>19</v>
      </c>
      <c r="N617">
        <v>7.8190913236803103</v>
      </c>
      <c r="O617">
        <v>9.2902314772623722</v>
      </c>
      <c r="P617">
        <v>23.011027066435798</v>
      </c>
      <c r="Q617">
        <v>138.13239837398376</v>
      </c>
      <c r="R617">
        <v>33.408569465825124</v>
      </c>
    </row>
    <row r="618" spans="1:18" x14ac:dyDescent="0.25">
      <c r="A618" s="1">
        <v>45815</v>
      </c>
      <c r="B618" s="2" t="s">
        <v>33</v>
      </c>
      <c r="C618" s="2" t="s">
        <v>34</v>
      </c>
      <c r="D618" s="2" t="s">
        <v>35</v>
      </c>
      <c r="E618" s="2" t="s">
        <v>41</v>
      </c>
      <c r="F618">
        <v>255443</v>
      </c>
      <c r="G618">
        <v>9636</v>
      </c>
      <c r="H618">
        <v>2306</v>
      </c>
      <c r="I618">
        <v>1082</v>
      </c>
      <c r="J618">
        <v>528</v>
      </c>
      <c r="K618">
        <v>108919.31</v>
      </c>
      <c r="L618">
        <v>1641515.54</v>
      </c>
      <c r="M618" s="2" t="s">
        <v>23</v>
      </c>
      <c r="N618">
        <v>3.7722701346288607</v>
      </c>
      <c r="O618">
        <v>11.303373806558739</v>
      </c>
      <c r="P618">
        <v>23.931091739310915</v>
      </c>
      <c r="Q618">
        <v>206.28657196969698</v>
      </c>
      <c r="R618">
        <v>15.070932234146545</v>
      </c>
    </row>
    <row r="619" spans="1:18" x14ac:dyDescent="0.25">
      <c r="A619" s="1">
        <v>45816</v>
      </c>
      <c r="B619" s="2" t="s">
        <v>33</v>
      </c>
      <c r="C619" s="2" t="s">
        <v>34</v>
      </c>
      <c r="D619" s="2" t="s">
        <v>35</v>
      </c>
      <c r="E619" s="2" t="s">
        <v>41</v>
      </c>
      <c r="F619">
        <v>153084</v>
      </c>
      <c r="G619">
        <v>4907</v>
      </c>
      <c r="H619">
        <v>999</v>
      </c>
      <c r="I619">
        <v>538</v>
      </c>
      <c r="J619">
        <v>307</v>
      </c>
      <c r="K619">
        <v>97654.25</v>
      </c>
      <c r="L619">
        <v>1586488.03</v>
      </c>
      <c r="M619" s="2" t="s">
        <v>20</v>
      </c>
      <c r="N619">
        <v>3.2054296987274959</v>
      </c>
      <c r="O619">
        <v>19.901008762991644</v>
      </c>
      <c r="P619">
        <v>20.358671285918074</v>
      </c>
      <c r="Q619">
        <v>318.09201954397395</v>
      </c>
      <c r="R619">
        <v>16.245970144668561</v>
      </c>
    </row>
    <row r="620" spans="1:18" x14ac:dyDescent="0.25">
      <c r="A620" s="1">
        <v>45817</v>
      </c>
      <c r="B620" s="2" t="s">
        <v>33</v>
      </c>
      <c r="C620" s="2" t="s">
        <v>34</v>
      </c>
      <c r="D620" s="2" t="s">
        <v>35</v>
      </c>
      <c r="E620" s="2" t="s">
        <v>41</v>
      </c>
      <c r="F620">
        <v>114699</v>
      </c>
      <c r="G620">
        <v>4802</v>
      </c>
      <c r="H620">
        <v>801</v>
      </c>
      <c r="I620">
        <v>375</v>
      </c>
      <c r="J620">
        <v>175</v>
      </c>
      <c r="K620">
        <v>79599.73</v>
      </c>
      <c r="L620">
        <v>1126490.56</v>
      </c>
      <c r="M620" s="2" t="s">
        <v>23</v>
      </c>
      <c r="N620">
        <v>4.1866101709692325</v>
      </c>
      <c r="O620">
        <v>16.576370262390668</v>
      </c>
      <c r="P620">
        <v>16.680549770928778</v>
      </c>
      <c r="Q620">
        <v>454.85559999999998</v>
      </c>
      <c r="R620">
        <v>14.151939460096161</v>
      </c>
    </row>
    <row r="621" spans="1:18" x14ac:dyDescent="0.25">
      <c r="A621" s="1">
        <v>45818</v>
      </c>
      <c r="B621" s="2" t="s">
        <v>33</v>
      </c>
      <c r="C621" s="2" t="s">
        <v>34</v>
      </c>
      <c r="D621" s="2" t="s">
        <v>35</v>
      </c>
      <c r="E621" s="2" t="s">
        <v>41</v>
      </c>
      <c r="F621">
        <v>228607</v>
      </c>
      <c r="G621">
        <v>11316</v>
      </c>
      <c r="H621">
        <v>2761</v>
      </c>
      <c r="I621">
        <v>1577</v>
      </c>
      <c r="J621">
        <v>831</v>
      </c>
      <c r="K621">
        <v>199079.5</v>
      </c>
      <c r="L621">
        <v>5513047.8600000003</v>
      </c>
      <c r="M621" s="2" t="s">
        <v>19</v>
      </c>
      <c r="N621">
        <v>4.9499796594155034</v>
      </c>
      <c r="O621">
        <v>17.592744786143513</v>
      </c>
      <c r="P621">
        <v>24.39908094733121</v>
      </c>
      <c r="Q621">
        <v>239.56618531889291</v>
      </c>
      <c r="R621">
        <v>27.692694928407999</v>
      </c>
    </row>
    <row r="622" spans="1:18" x14ac:dyDescent="0.25">
      <c r="A622" s="1">
        <v>45819</v>
      </c>
      <c r="B622" s="2" t="s">
        <v>33</v>
      </c>
      <c r="C622" s="2" t="s">
        <v>34</v>
      </c>
      <c r="D622" s="2" t="s">
        <v>35</v>
      </c>
      <c r="E622" s="2" t="s">
        <v>41</v>
      </c>
      <c r="F622">
        <v>115246</v>
      </c>
      <c r="G622">
        <v>7658</v>
      </c>
      <c r="H622">
        <v>1593</v>
      </c>
      <c r="I622">
        <v>756</v>
      </c>
      <c r="J622">
        <v>338</v>
      </c>
      <c r="K622">
        <v>111946.04</v>
      </c>
      <c r="L622">
        <v>2482396.52</v>
      </c>
      <c r="M622" s="2" t="s">
        <v>23</v>
      </c>
      <c r="N622">
        <v>6.6449160925324966</v>
      </c>
      <c r="O622">
        <v>14.6181822930269</v>
      </c>
      <c r="P622">
        <v>20.801775920605902</v>
      </c>
      <c r="Q622">
        <v>331.2013017751479</v>
      </c>
      <c r="R622">
        <v>22.174938211302518</v>
      </c>
    </row>
    <row r="623" spans="1:18" x14ac:dyDescent="0.25">
      <c r="A623" s="1">
        <v>45820</v>
      </c>
      <c r="B623" s="2" t="s">
        <v>33</v>
      </c>
      <c r="C623" s="2" t="s">
        <v>34</v>
      </c>
      <c r="D623" s="2" t="s">
        <v>35</v>
      </c>
      <c r="E623" s="2" t="s">
        <v>41</v>
      </c>
      <c r="F623">
        <v>265508</v>
      </c>
      <c r="G623">
        <v>9396</v>
      </c>
      <c r="H623">
        <v>1593</v>
      </c>
      <c r="I623">
        <v>898</v>
      </c>
      <c r="J623">
        <v>489</v>
      </c>
      <c r="K623">
        <v>184408.86</v>
      </c>
      <c r="L623">
        <v>2219084.9500000002</v>
      </c>
      <c r="M623" s="2" t="s">
        <v>19</v>
      </c>
      <c r="N623">
        <v>3.5388764180363679</v>
      </c>
      <c r="O623">
        <v>19.626315453384418</v>
      </c>
      <c r="P623">
        <v>16.954022988505745</v>
      </c>
      <c r="Q623">
        <v>377.11423312883431</v>
      </c>
      <c r="R623">
        <v>12.033505060440156</v>
      </c>
    </row>
    <row r="624" spans="1:18" x14ac:dyDescent="0.25">
      <c r="A624" s="1">
        <v>45821</v>
      </c>
      <c r="B624" s="2" t="s">
        <v>33</v>
      </c>
      <c r="C624" s="2" t="s">
        <v>34</v>
      </c>
      <c r="D624" s="2" t="s">
        <v>35</v>
      </c>
      <c r="E624" s="2" t="s">
        <v>41</v>
      </c>
      <c r="F624">
        <v>52092</v>
      </c>
      <c r="G624">
        <v>2486</v>
      </c>
      <c r="H624">
        <v>570</v>
      </c>
      <c r="I624">
        <v>350</v>
      </c>
      <c r="J624">
        <v>191</v>
      </c>
      <c r="K624">
        <v>35363.69</v>
      </c>
      <c r="L624">
        <v>1423038.59</v>
      </c>
      <c r="M624" s="2" t="s">
        <v>23</v>
      </c>
      <c r="N624">
        <v>4.7723258849727408</v>
      </c>
      <c r="O624">
        <v>14.22513676588898</v>
      </c>
      <c r="P624">
        <v>22.928399034593724</v>
      </c>
      <c r="Q624">
        <v>185.15020942408378</v>
      </c>
      <c r="R624">
        <v>40.240104751512071</v>
      </c>
    </row>
    <row r="625" spans="1:18" x14ac:dyDescent="0.25">
      <c r="A625" s="1">
        <v>45822</v>
      </c>
      <c r="B625" s="2" t="s">
        <v>33</v>
      </c>
      <c r="C625" s="2" t="s">
        <v>34</v>
      </c>
      <c r="D625" s="2" t="s">
        <v>35</v>
      </c>
      <c r="E625" s="2" t="s">
        <v>41</v>
      </c>
      <c r="F625">
        <v>287149</v>
      </c>
      <c r="G625">
        <v>12655</v>
      </c>
      <c r="H625">
        <v>2180</v>
      </c>
      <c r="I625">
        <v>1116</v>
      </c>
      <c r="J625">
        <v>601</v>
      </c>
      <c r="K625">
        <v>241881.98</v>
      </c>
      <c r="L625">
        <v>4227409.95</v>
      </c>
      <c r="M625" s="2" t="s">
        <v>21</v>
      </c>
      <c r="N625">
        <v>4.407119648684132</v>
      </c>
      <c r="O625">
        <v>19.113550375345714</v>
      </c>
      <c r="P625">
        <v>17.226392730146188</v>
      </c>
      <c r="Q625">
        <v>402.46585690515809</v>
      </c>
      <c r="R625">
        <v>17.477159522176891</v>
      </c>
    </row>
    <row r="626" spans="1:18" x14ac:dyDescent="0.25">
      <c r="A626" s="1">
        <v>45823</v>
      </c>
      <c r="B626" s="2" t="s">
        <v>33</v>
      </c>
      <c r="C626" s="2" t="s">
        <v>34</v>
      </c>
      <c r="D626" s="2" t="s">
        <v>35</v>
      </c>
      <c r="E626" s="2" t="s">
        <v>41</v>
      </c>
      <c r="F626">
        <v>149833</v>
      </c>
      <c r="G626">
        <v>7012</v>
      </c>
      <c r="H626">
        <v>1494</v>
      </c>
      <c r="I626">
        <v>738</v>
      </c>
      <c r="J626">
        <v>297</v>
      </c>
      <c r="K626">
        <v>131425.41</v>
      </c>
      <c r="L626">
        <v>1614620.18</v>
      </c>
      <c r="M626" s="2" t="s">
        <v>19</v>
      </c>
      <c r="N626">
        <v>4.6798769296483416</v>
      </c>
      <c r="O626">
        <v>18.742927837992013</v>
      </c>
      <c r="P626">
        <v>21.306332002281803</v>
      </c>
      <c r="Q626">
        <v>442.50979797979801</v>
      </c>
      <c r="R626">
        <v>12.285449061943195</v>
      </c>
    </row>
    <row r="627" spans="1:18" x14ac:dyDescent="0.25">
      <c r="A627" s="1">
        <v>45824</v>
      </c>
      <c r="B627" s="2" t="s">
        <v>33</v>
      </c>
      <c r="C627" s="2" t="s">
        <v>34</v>
      </c>
      <c r="D627" s="2" t="s">
        <v>35</v>
      </c>
      <c r="E627" s="2" t="s">
        <v>41</v>
      </c>
      <c r="F627">
        <v>255927</v>
      </c>
      <c r="G627">
        <v>12698</v>
      </c>
      <c r="H627">
        <v>2565</v>
      </c>
      <c r="I627">
        <v>1291</v>
      </c>
      <c r="J627">
        <v>774</v>
      </c>
      <c r="K627">
        <v>163441.21</v>
      </c>
      <c r="L627">
        <v>4081467</v>
      </c>
      <c r="M627" s="2" t="s">
        <v>19</v>
      </c>
      <c r="N627">
        <v>4.9615710730012852</v>
      </c>
      <c r="O627">
        <v>12.871413608442273</v>
      </c>
      <c r="P627">
        <v>20.200031501023783</v>
      </c>
      <c r="Q627">
        <v>211.16435400516795</v>
      </c>
      <c r="R627">
        <v>24.972080174883679</v>
      </c>
    </row>
    <row r="628" spans="1:18" x14ac:dyDescent="0.25">
      <c r="A628" s="1">
        <v>45825</v>
      </c>
      <c r="B628" s="2" t="s">
        <v>33</v>
      </c>
      <c r="C628" s="2" t="s">
        <v>34</v>
      </c>
      <c r="D628" s="2" t="s">
        <v>35</v>
      </c>
      <c r="E628" s="2" t="s">
        <v>41</v>
      </c>
      <c r="F628">
        <v>234335</v>
      </c>
      <c r="G628">
        <v>11764</v>
      </c>
      <c r="H628">
        <v>1932</v>
      </c>
      <c r="I628">
        <v>992</v>
      </c>
      <c r="J628">
        <v>435</v>
      </c>
      <c r="K628">
        <v>164277.07999999999</v>
      </c>
      <c r="L628">
        <v>1544374.71</v>
      </c>
      <c r="M628" s="2" t="s">
        <v>21</v>
      </c>
      <c r="N628">
        <v>5.0201634412273028</v>
      </c>
      <c r="O628">
        <v>13.964389663379801</v>
      </c>
      <c r="P628">
        <v>16.42298537912275</v>
      </c>
      <c r="Q628">
        <v>377.64845977011493</v>
      </c>
      <c r="R628">
        <v>9.4010357987858075</v>
      </c>
    </row>
    <row r="629" spans="1:18" x14ac:dyDescent="0.25">
      <c r="A629" s="1">
        <v>45826</v>
      </c>
      <c r="B629" s="2" t="s">
        <v>33</v>
      </c>
      <c r="C629" s="2" t="s">
        <v>34</v>
      </c>
      <c r="D629" s="2" t="s">
        <v>35</v>
      </c>
      <c r="E629" s="2" t="s">
        <v>41</v>
      </c>
      <c r="F629">
        <v>146202</v>
      </c>
      <c r="G629">
        <v>11655</v>
      </c>
      <c r="H629">
        <v>2425</v>
      </c>
      <c r="I629">
        <v>1140</v>
      </c>
      <c r="J629">
        <v>460</v>
      </c>
      <c r="K629">
        <v>79710.710000000006</v>
      </c>
      <c r="L629">
        <v>2166582.31</v>
      </c>
      <c r="M629" s="2" t="s">
        <v>20</v>
      </c>
      <c r="N629">
        <v>7.9718471703533469</v>
      </c>
      <c r="O629">
        <v>6.8391857571857582</v>
      </c>
      <c r="P629">
        <v>20.806520806520805</v>
      </c>
      <c r="Q629">
        <v>173.28415217391307</v>
      </c>
      <c r="R629">
        <v>27.180567203579042</v>
      </c>
    </row>
    <row r="630" spans="1:18" x14ac:dyDescent="0.25">
      <c r="A630" s="1">
        <v>45827</v>
      </c>
      <c r="B630" s="2" t="s">
        <v>33</v>
      </c>
      <c r="C630" s="2" t="s">
        <v>34</v>
      </c>
      <c r="D630" s="2" t="s">
        <v>35</v>
      </c>
      <c r="E630" s="2" t="s">
        <v>41</v>
      </c>
      <c r="F630">
        <v>169807</v>
      </c>
      <c r="G630">
        <v>5900</v>
      </c>
      <c r="H630">
        <v>1002</v>
      </c>
      <c r="I630">
        <v>543</v>
      </c>
      <c r="J630">
        <v>271</v>
      </c>
      <c r="K630">
        <v>167493.6</v>
      </c>
      <c r="L630">
        <v>1293759.1100000001</v>
      </c>
      <c r="M630" s="2" t="s">
        <v>19</v>
      </c>
      <c r="N630">
        <v>3.4745328520025676</v>
      </c>
      <c r="O630">
        <v>28.388745762711867</v>
      </c>
      <c r="P630">
        <v>16.983050847457626</v>
      </c>
      <c r="Q630">
        <v>618.05756457564576</v>
      </c>
      <c r="R630">
        <v>7.724230119837415</v>
      </c>
    </row>
    <row r="631" spans="1:18" x14ac:dyDescent="0.25">
      <c r="A631" s="1">
        <v>45828</v>
      </c>
      <c r="B631" s="2" t="s">
        <v>33</v>
      </c>
      <c r="C631" s="2" t="s">
        <v>34</v>
      </c>
      <c r="D631" s="2" t="s">
        <v>35</v>
      </c>
      <c r="E631" s="2" t="s">
        <v>41</v>
      </c>
      <c r="F631">
        <v>51060</v>
      </c>
      <c r="G631">
        <v>2259</v>
      </c>
      <c r="H631">
        <v>559</v>
      </c>
      <c r="I631">
        <v>276</v>
      </c>
      <c r="J631">
        <v>121</v>
      </c>
      <c r="K631">
        <v>41121.18</v>
      </c>
      <c r="L631">
        <v>556625.17000000004</v>
      </c>
      <c r="M631" s="2" t="s">
        <v>22</v>
      </c>
      <c r="N631">
        <v>4.4242068155111633</v>
      </c>
      <c r="O631">
        <v>18.203266932270918</v>
      </c>
      <c r="P631">
        <v>24.745462594068172</v>
      </c>
      <c r="Q631">
        <v>339.84446280991733</v>
      </c>
      <c r="R631">
        <v>13.536215886800914</v>
      </c>
    </row>
    <row r="632" spans="1:18" x14ac:dyDescent="0.25">
      <c r="A632" s="1">
        <v>45829</v>
      </c>
      <c r="B632" s="2" t="s">
        <v>33</v>
      </c>
      <c r="C632" s="2" t="s">
        <v>34</v>
      </c>
      <c r="D632" s="2" t="s">
        <v>35</v>
      </c>
      <c r="E632" s="2" t="s">
        <v>41</v>
      </c>
      <c r="F632">
        <v>299910</v>
      </c>
      <c r="G632">
        <v>23654</v>
      </c>
      <c r="H632">
        <v>5219</v>
      </c>
      <c r="I632">
        <v>2461</v>
      </c>
      <c r="J632">
        <v>1471</v>
      </c>
      <c r="K632">
        <v>147276.92000000001</v>
      </c>
      <c r="L632">
        <v>7040894.9100000001</v>
      </c>
      <c r="M632" s="2" t="s">
        <v>21</v>
      </c>
      <c r="N632">
        <v>7.8870327764996171</v>
      </c>
      <c r="O632">
        <v>6.2263008370677273</v>
      </c>
      <c r="P632">
        <v>22.063921535469689</v>
      </c>
      <c r="Q632">
        <v>100.12027192386132</v>
      </c>
      <c r="R632">
        <v>47.807184655952881</v>
      </c>
    </row>
    <row r="633" spans="1:18" x14ac:dyDescent="0.25">
      <c r="A633" s="1">
        <v>45830</v>
      </c>
      <c r="B633" s="2" t="s">
        <v>33</v>
      </c>
      <c r="C633" s="2" t="s">
        <v>34</v>
      </c>
      <c r="D633" s="2" t="s">
        <v>35</v>
      </c>
      <c r="E633" s="2" t="s">
        <v>41</v>
      </c>
      <c r="F633">
        <v>118757</v>
      </c>
      <c r="G633">
        <v>6909</v>
      </c>
      <c r="H633">
        <v>1251</v>
      </c>
      <c r="I633">
        <v>711</v>
      </c>
      <c r="J633">
        <v>363</v>
      </c>
      <c r="K633">
        <v>97100.84</v>
      </c>
      <c r="L633">
        <v>2733839.18</v>
      </c>
      <c r="M633" s="2" t="s">
        <v>21</v>
      </c>
      <c r="N633">
        <v>5.8177623213789502</v>
      </c>
      <c r="O633">
        <v>14.054253871761469</v>
      </c>
      <c r="P633">
        <v>18.106817194963092</v>
      </c>
      <c r="Q633">
        <v>267.49542699724515</v>
      </c>
      <c r="R633">
        <v>28.154639856874567</v>
      </c>
    </row>
    <row r="634" spans="1:18" x14ac:dyDescent="0.25">
      <c r="A634" s="1">
        <v>45831</v>
      </c>
      <c r="B634" s="2" t="s">
        <v>33</v>
      </c>
      <c r="C634" s="2" t="s">
        <v>34</v>
      </c>
      <c r="D634" s="2" t="s">
        <v>35</v>
      </c>
      <c r="E634" s="2" t="s">
        <v>41</v>
      </c>
      <c r="F634">
        <v>215965</v>
      </c>
      <c r="G634">
        <v>16744</v>
      </c>
      <c r="H634">
        <v>3264</v>
      </c>
      <c r="I634">
        <v>1645</v>
      </c>
      <c r="J634">
        <v>772</v>
      </c>
      <c r="K634">
        <v>138966.79999999999</v>
      </c>
      <c r="L634">
        <v>3706914.65</v>
      </c>
      <c r="M634" s="2" t="s">
        <v>22</v>
      </c>
      <c r="N634">
        <v>7.7531081425230939</v>
      </c>
      <c r="O634">
        <v>8.2994983277591974</v>
      </c>
      <c r="P634">
        <v>19.493549928332538</v>
      </c>
      <c r="Q634">
        <v>180.00880829015543</v>
      </c>
      <c r="R634">
        <v>26.674821971866663</v>
      </c>
    </row>
    <row r="635" spans="1:18" x14ac:dyDescent="0.25">
      <c r="A635" s="1">
        <v>45832</v>
      </c>
      <c r="B635" s="2" t="s">
        <v>33</v>
      </c>
      <c r="C635" s="2" t="s">
        <v>34</v>
      </c>
      <c r="D635" s="2" t="s">
        <v>35</v>
      </c>
      <c r="E635" s="2" t="s">
        <v>41</v>
      </c>
      <c r="F635">
        <v>251296</v>
      </c>
      <c r="G635">
        <v>15390</v>
      </c>
      <c r="H635">
        <v>3332</v>
      </c>
      <c r="I635">
        <v>1741</v>
      </c>
      <c r="J635">
        <v>721</v>
      </c>
      <c r="K635">
        <v>235593.68</v>
      </c>
      <c r="L635">
        <v>5070650.21</v>
      </c>
      <c r="M635" s="2" t="s">
        <v>22</v>
      </c>
      <c r="N635">
        <v>6.1242518782630846</v>
      </c>
      <c r="O635">
        <v>15.308231319038336</v>
      </c>
      <c r="P635">
        <v>21.650422352176736</v>
      </c>
      <c r="Q635">
        <v>326.75961165048545</v>
      </c>
      <c r="R635">
        <v>21.522861776258175</v>
      </c>
    </row>
    <row r="636" spans="1:18" x14ac:dyDescent="0.25">
      <c r="A636" s="1">
        <v>45833</v>
      </c>
      <c r="B636" s="2" t="s">
        <v>33</v>
      </c>
      <c r="C636" s="2" t="s">
        <v>34</v>
      </c>
      <c r="D636" s="2" t="s">
        <v>35</v>
      </c>
      <c r="E636" s="2" t="s">
        <v>41</v>
      </c>
      <c r="F636">
        <v>58479</v>
      </c>
      <c r="G636">
        <v>3449</v>
      </c>
      <c r="H636">
        <v>525</v>
      </c>
      <c r="I636">
        <v>332</v>
      </c>
      <c r="J636">
        <v>138</v>
      </c>
      <c r="K636">
        <v>36555.379999999997</v>
      </c>
      <c r="L636">
        <v>944561.57</v>
      </c>
      <c r="M636" s="2" t="s">
        <v>22</v>
      </c>
      <c r="N636">
        <v>5.8978436703774006</v>
      </c>
      <c r="O636">
        <v>10.598834444766599</v>
      </c>
      <c r="P636">
        <v>15.22180342128153</v>
      </c>
      <c r="Q636">
        <v>264.89405797101449</v>
      </c>
      <c r="R636">
        <v>25.839194394915332</v>
      </c>
    </row>
    <row r="637" spans="1:18" x14ac:dyDescent="0.25">
      <c r="A637" s="1">
        <v>45834</v>
      </c>
      <c r="B637" s="2" t="s">
        <v>33</v>
      </c>
      <c r="C637" s="2" t="s">
        <v>34</v>
      </c>
      <c r="D637" s="2" t="s">
        <v>35</v>
      </c>
      <c r="E637" s="2" t="s">
        <v>41</v>
      </c>
      <c r="F637">
        <v>89905</v>
      </c>
      <c r="G637">
        <v>4837</v>
      </c>
      <c r="H637">
        <v>875</v>
      </c>
      <c r="I637">
        <v>550</v>
      </c>
      <c r="J637">
        <v>241</v>
      </c>
      <c r="K637">
        <v>51333.26</v>
      </c>
      <c r="L637">
        <v>1062504.3799999999</v>
      </c>
      <c r="M637" s="2" t="s">
        <v>22</v>
      </c>
      <c r="N637">
        <v>5.3801234636560817</v>
      </c>
      <c r="O637">
        <v>10.612623526979533</v>
      </c>
      <c r="P637">
        <v>18.089725036179448</v>
      </c>
      <c r="Q637">
        <v>213.00107883817429</v>
      </c>
      <c r="R637">
        <v>20.698166841537045</v>
      </c>
    </row>
    <row r="638" spans="1:18" x14ac:dyDescent="0.25">
      <c r="A638" s="1">
        <v>45835</v>
      </c>
      <c r="B638" s="2" t="s">
        <v>33</v>
      </c>
      <c r="C638" s="2" t="s">
        <v>34</v>
      </c>
      <c r="D638" s="2" t="s">
        <v>35</v>
      </c>
      <c r="E638" s="2" t="s">
        <v>41</v>
      </c>
      <c r="F638">
        <v>92090</v>
      </c>
      <c r="G638">
        <v>5092</v>
      </c>
      <c r="H638">
        <v>879</v>
      </c>
      <c r="I638">
        <v>474</v>
      </c>
      <c r="J638">
        <v>260</v>
      </c>
      <c r="K638">
        <v>84474.07</v>
      </c>
      <c r="L638">
        <v>1445950.1</v>
      </c>
      <c r="M638" s="2" t="s">
        <v>22</v>
      </c>
      <c r="N638">
        <v>5.5293734390270393</v>
      </c>
      <c r="O638">
        <v>16.589565985860173</v>
      </c>
      <c r="P638">
        <v>17.262372348782403</v>
      </c>
      <c r="Q638">
        <v>324.90026923076925</v>
      </c>
      <c r="R638">
        <v>17.117088119466718</v>
      </c>
    </row>
    <row r="639" spans="1:18" x14ac:dyDescent="0.25">
      <c r="A639" s="1">
        <v>45836</v>
      </c>
      <c r="B639" s="2" t="s">
        <v>33</v>
      </c>
      <c r="C639" s="2" t="s">
        <v>34</v>
      </c>
      <c r="D639" s="2" t="s">
        <v>35</v>
      </c>
      <c r="E639" s="2" t="s">
        <v>41</v>
      </c>
      <c r="F639">
        <v>118966</v>
      </c>
      <c r="G639">
        <v>6945</v>
      </c>
      <c r="H639">
        <v>1680</v>
      </c>
      <c r="I639">
        <v>1063</v>
      </c>
      <c r="J639">
        <v>602</v>
      </c>
      <c r="K639">
        <v>86687.2</v>
      </c>
      <c r="L639">
        <v>1924916.2</v>
      </c>
      <c r="M639" s="2" t="s">
        <v>20</v>
      </c>
      <c r="N639">
        <v>5.8378023973236051</v>
      </c>
      <c r="O639">
        <v>12.481958243340532</v>
      </c>
      <c r="P639">
        <v>24.190064794816415</v>
      </c>
      <c r="Q639">
        <v>143.9986710963455</v>
      </c>
      <c r="R639">
        <v>22.205310587953008</v>
      </c>
    </row>
    <row r="640" spans="1:18" x14ac:dyDescent="0.25">
      <c r="A640" s="1">
        <v>45837</v>
      </c>
      <c r="B640" s="2" t="s">
        <v>33</v>
      </c>
      <c r="C640" s="2" t="s">
        <v>34</v>
      </c>
      <c r="D640" s="2" t="s">
        <v>35</v>
      </c>
      <c r="E640" s="2" t="s">
        <v>41</v>
      </c>
      <c r="F640">
        <v>54787</v>
      </c>
      <c r="G640">
        <v>2701</v>
      </c>
      <c r="H640">
        <v>414</v>
      </c>
      <c r="I640">
        <v>256</v>
      </c>
      <c r="J640">
        <v>108</v>
      </c>
      <c r="K640">
        <v>23226.400000000001</v>
      </c>
      <c r="L640">
        <v>639599.69999999995</v>
      </c>
      <c r="M640" s="2" t="s">
        <v>22</v>
      </c>
      <c r="N640">
        <v>4.9300016427254647</v>
      </c>
      <c r="O640">
        <v>8.5991854868567206</v>
      </c>
      <c r="P640">
        <v>15.327656423546834</v>
      </c>
      <c r="Q640">
        <v>215.05925925925928</v>
      </c>
      <c r="R640">
        <v>27.537616677573791</v>
      </c>
    </row>
    <row r="641" spans="1:18" x14ac:dyDescent="0.25">
      <c r="A641" s="1">
        <v>45838</v>
      </c>
      <c r="B641" s="2" t="s">
        <v>33</v>
      </c>
      <c r="C641" s="2" t="s">
        <v>34</v>
      </c>
      <c r="D641" s="2" t="s">
        <v>35</v>
      </c>
      <c r="E641" s="2" t="s">
        <v>41</v>
      </c>
      <c r="F641">
        <v>81314</v>
      </c>
      <c r="G641">
        <v>3799</v>
      </c>
      <c r="H641">
        <v>757</v>
      </c>
      <c r="I641">
        <v>427</v>
      </c>
      <c r="J641">
        <v>191</v>
      </c>
      <c r="K641">
        <v>47760.639999999999</v>
      </c>
      <c r="L641">
        <v>1085518.31</v>
      </c>
      <c r="M641" s="2" t="s">
        <v>21</v>
      </c>
      <c r="N641">
        <v>4.6720121996212214</v>
      </c>
      <c r="O641">
        <v>12.571897867859963</v>
      </c>
      <c r="P641">
        <v>19.92629639378784</v>
      </c>
      <c r="Q641">
        <v>250.05570680628273</v>
      </c>
      <c r="R641">
        <v>22.728303263942863</v>
      </c>
    </row>
    <row r="642" spans="1:18" x14ac:dyDescent="0.25">
      <c r="A642" s="1">
        <v>45839</v>
      </c>
      <c r="B642" s="2" t="s">
        <v>33</v>
      </c>
      <c r="C642" s="2" t="s">
        <v>34</v>
      </c>
      <c r="D642" s="2" t="s">
        <v>35</v>
      </c>
      <c r="E642" s="2" t="s">
        <v>41</v>
      </c>
      <c r="F642">
        <v>92036</v>
      </c>
      <c r="G642">
        <v>5655</v>
      </c>
      <c r="H642">
        <v>1370</v>
      </c>
      <c r="I642">
        <v>718</v>
      </c>
      <c r="J642">
        <v>314</v>
      </c>
      <c r="K642">
        <v>63223.93</v>
      </c>
      <c r="L642">
        <v>1366952.36</v>
      </c>
      <c r="M642" s="2" t="s">
        <v>22</v>
      </c>
      <c r="N642">
        <v>6.1443348255030639</v>
      </c>
      <c r="O642">
        <v>11.180182139699381</v>
      </c>
      <c r="P642">
        <v>24.226348364279399</v>
      </c>
      <c r="Q642">
        <v>201.35009554140129</v>
      </c>
      <c r="R642">
        <v>21.620806552202623</v>
      </c>
    </row>
    <row r="643" spans="1:18" x14ac:dyDescent="0.25">
      <c r="A643" s="1">
        <v>45840</v>
      </c>
      <c r="B643" s="2" t="s">
        <v>33</v>
      </c>
      <c r="C643" s="2" t="s">
        <v>34</v>
      </c>
      <c r="D643" s="2" t="s">
        <v>35</v>
      </c>
      <c r="E643" s="2" t="s">
        <v>41</v>
      </c>
      <c r="F643">
        <v>269403</v>
      </c>
      <c r="G643">
        <v>18663</v>
      </c>
      <c r="H643">
        <v>4144</v>
      </c>
      <c r="I643">
        <v>2502</v>
      </c>
      <c r="J643">
        <v>1360</v>
      </c>
      <c r="K643">
        <v>150891.95000000001</v>
      </c>
      <c r="L643">
        <v>8181786.3200000003</v>
      </c>
      <c r="M643" s="2" t="s">
        <v>23</v>
      </c>
      <c r="N643">
        <v>6.9275397824077682</v>
      </c>
      <c r="O643">
        <v>8.0850854632159894</v>
      </c>
      <c r="P643">
        <v>22.204361571022879</v>
      </c>
      <c r="Q643">
        <v>110.94996323529412</v>
      </c>
      <c r="R643">
        <v>54.222815199883094</v>
      </c>
    </row>
    <row r="644" spans="1:18" x14ac:dyDescent="0.25">
      <c r="A644" s="1">
        <v>45841</v>
      </c>
      <c r="B644" s="2" t="s">
        <v>33</v>
      </c>
      <c r="C644" s="2" t="s">
        <v>34</v>
      </c>
      <c r="D644" s="2" t="s">
        <v>35</v>
      </c>
      <c r="E644" s="2" t="s">
        <v>41</v>
      </c>
      <c r="F644">
        <v>56759</v>
      </c>
      <c r="G644">
        <v>4315</v>
      </c>
      <c r="H644">
        <v>975</v>
      </c>
      <c r="I644">
        <v>572</v>
      </c>
      <c r="J644">
        <v>279</v>
      </c>
      <c r="K644">
        <v>47812.04</v>
      </c>
      <c r="L644">
        <v>1401844.34</v>
      </c>
      <c r="M644" s="2" t="s">
        <v>22</v>
      </c>
      <c r="N644">
        <v>7.6023185750277484</v>
      </c>
      <c r="O644">
        <v>11.080426419466976</v>
      </c>
      <c r="P644">
        <v>22.595596755504054</v>
      </c>
      <c r="Q644">
        <v>171.36931899641579</v>
      </c>
      <c r="R644">
        <v>29.319902267295017</v>
      </c>
    </row>
    <row r="645" spans="1:18" x14ac:dyDescent="0.25">
      <c r="A645" s="1">
        <v>45842</v>
      </c>
      <c r="B645" s="2" t="s">
        <v>33</v>
      </c>
      <c r="C645" s="2" t="s">
        <v>34</v>
      </c>
      <c r="D645" s="2" t="s">
        <v>35</v>
      </c>
      <c r="E645" s="2" t="s">
        <v>41</v>
      </c>
      <c r="F645">
        <v>294725</v>
      </c>
      <c r="G645">
        <v>14169</v>
      </c>
      <c r="H645">
        <v>3083</v>
      </c>
      <c r="I645">
        <v>1956</v>
      </c>
      <c r="J645">
        <v>783</v>
      </c>
      <c r="K645">
        <v>267573.94</v>
      </c>
      <c r="L645">
        <v>2450851.61</v>
      </c>
      <c r="M645" s="2" t="s">
        <v>21</v>
      </c>
      <c r="N645">
        <v>4.8075324455000423</v>
      </c>
      <c r="O645">
        <v>18.884461853341804</v>
      </c>
      <c r="P645">
        <v>21.75876914390571</v>
      </c>
      <c r="Q645">
        <v>341.72916985951468</v>
      </c>
      <c r="R645">
        <v>9.1595302965602698</v>
      </c>
    </row>
    <row r="646" spans="1:18" x14ac:dyDescent="0.25">
      <c r="A646" s="1">
        <v>45843</v>
      </c>
      <c r="B646" s="2" t="s">
        <v>33</v>
      </c>
      <c r="C646" s="2" t="s">
        <v>34</v>
      </c>
      <c r="D646" s="2" t="s">
        <v>35</v>
      </c>
      <c r="E646" s="2" t="s">
        <v>41</v>
      </c>
      <c r="F646">
        <v>284349</v>
      </c>
      <c r="G646">
        <v>9408</v>
      </c>
      <c r="H646">
        <v>1926</v>
      </c>
      <c r="I646">
        <v>1228</v>
      </c>
      <c r="J646">
        <v>734</v>
      </c>
      <c r="K646">
        <v>145135.47</v>
      </c>
      <c r="L646">
        <v>3166144.83</v>
      </c>
      <c r="M646" s="2" t="s">
        <v>22</v>
      </c>
      <c r="N646">
        <v>3.3086101938111261</v>
      </c>
      <c r="O646">
        <v>15.426814413265307</v>
      </c>
      <c r="P646">
        <v>20.471938775510203</v>
      </c>
      <c r="Q646">
        <v>197.73224795640328</v>
      </c>
      <c r="R646">
        <v>21.815100264601067</v>
      </c>
    </row>
    <row r="647" spans="1:18" x14ac:dyDescent="0.25">
      <c r="A647" s="1">
        <v>45844</v>
      </c>
      <c r="B647" s="2" t="s">
        <v>33</v>
      </c>
      <c r="C647" s="2" t="s">
        <v>34</v>
      </c>
      <c r="D647" s="2" t="s">
        <v>35</v>
      </c>
      <c r="E647" s="2" t="s">
        <v>41</v>
      </c>
      <c r="F647">
        <v>215773</v>
      </c>
      <c r="G647">
        <v>11011</v>
      </c>
      <c r="H647">
        <v>2592</v>
      </c>
      <c r="I647">
        <v>1638</v>
      </c>
      <c r="J647">
        <v>787</v>
      </c>
      <c r="K647">
        <v>114990.31</v>
      </c>
      <c r="L647">
        <v>3955862.49</v>
      </c>
      <c r="M647" s="2" t="s">
        <v>21</v>
      </c>
      <c r="N647">
        <v>5.1030481107460153</v>
      </c>
      <c r="O647">
        <v>10.443221324130414</v>
      </c>
      <c r="P647">
        <v>23.540096267368995</v>
      </c>
      <c r="Q647">
        <v>146.11221092757305</v>
      </c>
      <c r="R647">
        <v>34.401702978277044</v>
      </c>
    </row>
    <row r="648" spans="1:18" x14ac:dyDescent="0.25">
      <c r="A648" s="1">
        <v>45845</v>
      </c>
      <c r="B648" s="2" t="s">
        <v>33</v>
      </c>
      <c r="C648" s="2" t="s">
        <v>34</v>
      </c>
      <c r="D648" s="2" t="s">
        <v>35</v>
      </c>
      <c r="E648" s="2" t="s">
        <v>41</v>
      </c>
      <c r="F648">
        <v>265814</v>
      </c>
      <c r="G648">
        <v>18135</v>
      </c>
      <c r="H648">
        <v>3413</v>
      </c>
      <c r="I648">
        <v>1802</v>
      </c>
      <c r="J648">
        <v>979</v>
      </c>
      <c r="K648">
        <v>178983.87</v>
      </c>
      <c r="L648">
        <v>4945617.34</v>
      </c>
      <c r="M648" s="2" t="s">
        <v>22</v>
      </c>
      <c r="N648">
        <v>6.822439751104155</v>
      </c>
      <c r="O648">
        <v>9.8695268817204305</v>
      </c>
      <c r="P648">
        <v>18.819961400606562</v>
      </c>
      <c r="Q648">
        <v>182.82315628192032</v>
      </c>
      <c r="R648">
        <v>27.631637085509436</v>
      </c>
    </row>
    <row r="649" spans="1:18" x14ac:dyDescent="0.25">
      <c r="A649" s="1">
        <v>45846</v>
      </c>
      <c r="B649" s="2" t="s">
        <v>33</v>
      </c>
      <c r="C649" s="2" t="s">
        <v>34</v>
      </c>
      <c r="D649" s="2" t="s">
        <v>35</v>
      </c>
      <c r="E649" s="2" t="s">
        <v>41</v>
      </c>
      <c r="F649">
        <v>254425</v>
      </c>
      <c r="G649">
        <v>11942</v>
      </c>
      <c r="H649">
        <v>2510</v>
      </c>
      <c r="I649">
        <v>1384</v>
      </c>
      <c r="J649">
        <v>700</v>
      </c>
      <c r="K649">
        <v>163582.32</v>
      </c>
      <c r="L649">
        <v>5486851.2400000002</v>
      </c>
      <c r="M649" s="2" t="s">
        <v>20</v>
      </c>
      <c r="N649">
        <v>4.6937211358946644</v>
      </c>
      <c r="O649">
        <v>13.69806732540613</v>
      </c>
      <c r="P649">
        <v>21.01825489867694</v>
      </c>
      <c r="Q649">
        <v>233.68902857142859</v>
      </c>
      <c r="R649">
        <v>33.541835327925412</v>
      </c>
    </row>
    <row r="650" spans="1:18" x14ac:dyDescent="0.25">
      <c r="A650" s="1">
        <v>45847</v>
      </c>
      <c r="B650" s="2" t="s">
        <v>33</v>
      </c>
      <c r="C650" s="2" t="s">
        <v>34</v>
      </c>
      <c r="D650" s="2" t="s">
        <v>35</v>
      </c>
      <c r="E650" s="2" t="s">
        <v>41</v>
      </c>
      <c r="F650">
        <v>259369</v>
      </c>
      <c r="G650">
        <v>9336</v>
      </c>
      <c r="H650">
        <v>2252</v>
      </c>
      <c r="I650">
        <v>1107</v>
      </c>
      <c r="J650">
        <v>588</v>
      </c>
      <c r="K650">
        <v>154589.95000000001</v>
      </c>
      <c r="L650">
        <v>3499060.17</v>
      </c>
      <c r="M650" s="2" t="s">
        <v>23</v>
      </c>
      <c r="N650">
        <v>3.5995049524037181</v>
      </c>
      <c r="O650">
        <v>16.55847793487575</v>
      </c>
      <c r="P650">
        <v>24.121679520137103</v>
      </c>
      <c r="Q650">
        <v>262.90807823129256</v>
      </c>
      <c r="R650">
        <v>22.634460843023753</v>
      </c>
    </row>
    <row r="651" spans="1:18" x14ac:dyDescent="0.25">
      <c r="A651" s="1">
        <v>45848</v>
      </c>
      <c r="B651" s="2" t="s">
        <v>33</v>
      </c>
      <c r="C651" s="2" t="s">
        <v>34</v>
      </c>
      <c r="D651" s="2" t="s">
        <v>35</v>
      </c>
      <c r="E651" s="2" t="s">
        <v>41</v>
      </c>
      <c r="F651">
        <v>221044</v>
      </c>
      <c r="G651">
        <v>13069</v>
      </c>
      <c r="H651">
        <v>2745</v>
      </c>
      <c r="I651">
        <v>1298</v>
      </c>
      <c r="J651">
        <v>558</v>
      </c>
      <c r="K651">
        <v>160690.04999999999</v>
      </c>
      <c r="L651">
        <v>3236187.64</v>
      </c>
      <c r="M651" s="2" t="s">
        <v>20</v>
      </c>
      <c r="N651">
        <v>5.9123975317131432</v>
      </c>
      <c r="O651">
        <v>12.295512280970234</v>
      </c>
      <c r="P651">
        <v>21.003902364373708</v>
      </c>
      <c r="Q651">
        <v>287.97499999999997</v>
      </c>
      <c r="R651">
        <v>20.139315657690069</v>
      </c>
    </row>
    <row r="652" spans="1:18" x14ac:dyDescent="0.25">
      <c r="A652" s="1">
        <v>45849</v>
      </c>
      <c r="B652" s="2" t="s">
        <v>33</v>
      </c>
      <c r="C652" s="2" t="s">
        <v>34</v>
      </c>
      <c r="D652" s="2" t="s">
        <v>35</v>
      </c>
      <c r="E652" s="2" t="s">
        <v>41</v>
      </c>
      <c r="F652">
        <v>94706</v>
      </c>
      <c r="G652">
        <v>5747</v>
      </c>
      <c r="H652">
        <v>890</v>
      </c>
      <c r="I652">
        <v>494</v>
      </c>
      <c r="J652">
        <v>278</v>
      </c>
      <c r="K652">
        <v>65416.27</v>
      </c>
      <c r="L652">
        <v>2144560.42</v>
      </c>
      <c r="M652" s="2" t="s">
        <v>22</v>
      </c>
      <c r="N652">
        <v>6.068253331362321</v>
      </c>
      <c r="O652">
        <v>11.382681398990778</v>
      </c>
      <c r="P652">
        <v>15.486340699495388</v>
      </c>
      <c r="Q652">
        <v>235.31032374100718</v>
      </c>
      <c r="R652">
        <v>32.783288010765517</v>
      </c>
    </row>
    <row r="653" spans="1:18" x14ac:dyDescent="0.25">
      <c r="A653" s="1">
        <v>45850</v>
      </c>
      <c r="B653" s="2" t="s">
        <v>33</v>
      </c>
      <c r="C653" s="2" t="s">
        <v>34</v>
      </c>
      <c r="D653" s="2" t="s">
        <v>35</v>
      </c>
      <c r="E653" s="2" t="s">
        <v>41</v>
      </c>
      <c r="F653">
        <v>176503</v>
      </c>
      <c r="G653">
        <v>10957</v>
      </c>
      <c r="H653">
        <v>1846</v>
      </c>
      <c r="I653">
        <v>985</v>
      </c>
      <c r="J653">
        <v>397</v>
      </c>
      <c r="K653">
        <v>145083.42000000001</v>
      </c>
      <c r="L653">
        <v>1468396.6</v>
      </c>
      <c r="M653" s="2" t="s">
        <v>21</v>
      </c>
      <c r="N653">
        <v>6.207826495866926</v>
      </c>
      <c r="O653">
        <v>13.241162727023822</v>
      </c>
      <c r="P653">
        <v>16.847677283928082</v>
      </c>
      <c r="Q653">
        <v>365.44942065491188</v>
      </c>
      <c r="R653">
        <v>10.121050358476523</v>
      </c>
    </row>
    <row r="654" spans="1:18" x14ac:dyDescent="0.25">
      <c r="A654" s="1">
        <v>45851</v>
      </c>
      <c r="B654" s="2" t="s">
        <v>33</v>
      </c>
      <c r="C654" s="2" t="s">
        <v>34</v>
      </c>
      <c r="D654" s="2" t="s">
        <v>35</v>
      </c>
      <c r="E654" s="2" t="s">
        <v>41</v>
      </c>
      <c r="F654">
        <v>237358</v>
      </c>
      <c r="G654">
        <v>14516</v>
      </c>
      <c r="H654">
        <v>2484</v>
      </c>
      <c r="I654">
        <v>1272</v>
      </c>
      <c r="J654">
        <v>548</v>
      </c>
      <c r="K654">
        <v>133175.25</v>
      </c>
      <c r="L654">
        <v>4227791.0199999996</v>
      </c>
      <c r="M654" s="2" t="s">
        <v>23</v>
      </c>
      <c r="N654">
        <v>6.1156565188449514</v>
      </c>
      <c r="O654">
        <v>9.1743765500137773</v>
      </c>
      <c r="P654">
        <v>17.112152108018737</v>
      </c>
      <c r="Q654">
        <v>243.02052919708029</v>
      </c>
      <c r="R654">
        <v>31.746071586124295</v>
      </c>
    </row>
    <row r="655" spans="1:18" x14ac:dyDescent="0.25">
      <c r="A655" s="1">
        <v>45852</v>
      </c>
      <c r="B655" s="2" t="s">
        <v>33</v>
      </c>
      <c r="C655" s="2" t="s">
        <v>34</v>
      </c>
      <c r="D655" s="2" t="s">
        <v>35</v>
      </c>
      <c r="E655" s="2" t="s">
        <v>41</v>
      </c>
      <c r="F655">
        <v>50848</v>
      </c>
      <c r="G655">
        <v>3877</v>
      </c>
      <c r="H655">
        <v>825</v>
      </c>
      <c r="I655">
        <v>405</v>
      </c>
      <c r="J655">
        <v>190</v>
      </c>
      <c r="K655">
        <v>43221.5</v>
      </c>
      <c r="L655">
        <v>1323600.99</v>
      </c>
      <c r="M655" s="2" t="s">
        <v>19</v>
      </c>
      <c r="N655">
        <v>7.6246853366897422</v>
      </c>
      <c r="O655">
        <v>11.148181583698737</v>
      </c>
      <c r="P655">
        <v>21.27933969564096</v>
      </c>
      <c r="Q655">
        <v>227.48157894736843</v>
      </c>
      <c r="R655">
        <v>30.623670858253416</v>
      </c>
    </row>
    <row r="656" spans="1:18" x14ac:dyDescent="0.25">
      <c r="A656" s="1">
        <v>45853</v>
      </c>
      <c r="B656" s="2" t="s">
        <v>33</v>
      </c>
      <c r="C656" s="2" t="s">
        <v>34</v>
      </c>
      <c r="D656" s="2" t="s">
        <v>35</v>
      </c>
      <c r="E656" s="2" t="s">
        <v>41</v>
      </c>
      <c r="F656">
        <v>96272</v>
      </c>
      <c r="G656">
        <v>7109</v>
      </c>
      <c r="H656">
        <v>1160</v>
      </c>
      <c r="I656">
        <v>673</v>
      </c>
      <c r="J656">
        <v>373</v>
      </c>
      <c r="K656">
        <v>61170.400000000001</v>
      </c>
      <c r="L656">
        <v>1645196.91</v>
      </c>
      <c r="M656" s="2" t="s">
        <v>22</v>
      </c>
      <c r="N656">
        <v>7.3842861891307967</v>
      </c>
      <c r="O656">
        <v>8.6046420030946695</v>
      </c>
      <c r="P656">
        <v>16.317344211562805</v>
      </c>
      <c r="Q656">
        <v>163.99571045576408</v>
      </c>
      <c r="R656">
        <v>26.895310640440471</v>
      </c>
    </row>
    <row r="657" spans="1:18" x14ac:dyDescent="0.25">
      <c r="A657" s="1">
        <v>45854</v>
      </c>
      <c r="B657" s="2" t="s">
        <v>33</v>
      </c>
      <c r="C657" s="2" t="s">
        <v>34</v>
      </c>
      <c r="D657" s="2" t="s">
        <v>35</v>
      </c>
      <c r="E657" s="2" t="s">
        <v>41</v>
      </c>
      <c r="F657">
        <v>163136</v>
      </c>
      <c r="G657">
        <v>7760</v>
      </c>
      <c r="H657">
        <v>1293</v>
      </c>
      <c r="I657">
        <v>616</v>
      </c>
      <c r="J657">
        <v>309</v>
      </c>
      <c r="K657">
        <v>81536.179999999993</v>
      </c>
      <c r="L657">
        <v>1996807.57</v>
      </c>
      <c r="M657" s="2" t="s">
        <v>23</v>
      </c>
      <c r="N657">
        <v>4.7567673597489213</v>
      </c>
      <c r="O657">
        <v>10.507239690721649</v>
      </c>
      <c r="P657">
        <v>16.662371134020617</v>
      </c>
      <c r="Q657">
        <v>263.87113268608414</v>
      </c>
      <c r="R657">
        <v>24.489834696695382</v>
      </c>
    </row>
    <row r="658" spans="1:18" x14ac:dyDescent="0.25">
      <c r="A658" s="1">
        <v>45855</v>
      </c>
      <c r="B658" s="2" t="s">
        <v>33</v>
      </c>
      <c r="C658" s="2" t="s">
        <v>34</v>
      </c>
      <c r="D658" s="2" t="s">
        <v>35</v>
      </c>
      <c r="E658" s="2" t="s">
        <v>41</v>
      </c>
      <c r="F658">
        <v>224881</v>
      </c>
      <c r="G658">
        <v>13220</v>
      </c>
      <c r="H658">
        <v>2919</v>
      </c>
      <c r="I658">
        <v>1678</v>
      </c>
      <c r="J658">
        <v>726</v>
      </c>
      <c r="K658">
        <v>209811.4</v>
      </c>
      <c r="L658">
        <v>4054985.75</v>
      </c>
      <c r="M658" s="2" t="s">
        <v>23</v>
      </c>
      <c r="N658">
        <v>5.8786647160053533</v>
      </c>
      <c r="O658">
        <v>15.870756429652042</v>
      </c>
      <c r="P658">
        <v>22.080181543116488</v>
      </c>
      <c r="Q658">
        <v>288.99641873278239</v>
      </c>
      <c r="R658">
        <v>19.326813271347508</v>
      </c>
    </row>
    <row r="659" spans="1:18" x14ac:dyDescent="0.25">
      <c r="A659" s="1">
        <v>45856</v>
      </c>
      <c r="B659" s="2" t="s">
        <v>33</v>
      </c>
      <c r="C659" s="2" t="s">
        <v>34</v>
      </c>
      <c r="D659" s="2" t="s">
        <v>35</v>
      </c>
      <c r="E659" s="2" t="s">
        <v>41</v>
      </c>
      <c r="F659">
        <v>107896</v>
      </c>
      <c r="G659">
        <v>6609</v>
      </c>
      <c r="H659">
        <v>1436</v>
      </c>
      <c r="I659">
        <v>892</v>
      </c>
      <c r="J659">
        <v>459</v>
      </c>
      <c r="K659">
        <v>104215.29</v>
      </c>
      <c r="L659">
        <v>2367563.2200000002</v>
      </c>
      <c r="M659" s="2" t="s">
        <v>21</v>
      </c>
      <c r="N659">
        <v>6.1253429228145615</v>
      </c>
      <c r="O659">
        <v>15.768692691783929</v>
      </c>
      <c r="P659">
        <v>21.7279467392949</v>
      </c>
      <c r="Q659">
        <v>227.04856209150324</v>
      </c>
      <c r="R659">
        <v>22.718002511915483</v>
      </c>
    </row>
    <row r="660" spans="1:18" x14ac:dyDescent="0.25">
      <c r="A660" s="1">
        <v>45857</v>
      </c>
      <c r="B660" s="2" t="s">
        <v>33</v>
      </c>
      <c r="C660" s="2" t="s">
        <v>34</v>
      </c>
      <c r="D660" s="2" t="s">
        <v>35</v>
      </c>
      <c r="E660" s="2" t="s">
        <v>41</v>
      </c>
      <c r="F660">
        <v>100529</v>
      </c>
      <c r="G660">
        <v>3042</v>
      </c>
      <c r="H660">
        <v>580</v>
      </c>
      <c r="I660">
        <v>326</v>
      </c>
      <c r="J660">
        <v>173</v>
      </c>
      <c r="K660">
        <v>52428</v>
      </c>
      <c r="L660">
        <v>1269806.24</v>
      </c>
      <c r="M660" s="2" t="s">
        <v>21</v>
      </c>
      <c r="N660">
        <v>3.0259924996767102</v>
      </c>
      <c r="O660">
        <v>17.234714003944774</v>
      </c>
      <c r="P660">
        <v>19.066403681788298</v>
      </c>
      <c r="Q660">
        <v>303.05202312138726</v>
      </c>
      <c r="R660">
        <v>24.220001525902191</v>
      </c>
    </row>
    <row r="661" spans="1:18" x14ac:dyDescent="0.25">
      <c r="A661" s="1">
        <v>45858</v>
      </c>
      <c r="B661" s="2" t="s">
        <v>33</v>
      </c>
      <c r="C661" s="2" t="s">
        <v>34</v>
      </c>
      <c r="D661" s="2" t="s">
        <v>35</v>
      </c>
      <c r="E661" s="2" t="s">
        <v>41</v>
      </c>
      <c r="F661">
        <v>59847</v>
      </c>
      <c r="G661">
        <v>4601</v>
      </c>
      <c r="H661">
        <v>734</v>
      </c>
      <c r="I661">
        <v>338</v>
      </c>
      <c r="J661">
        <v>157</v>
      </c>
      <c r="K661">
        <v>24579.52</v>
      </c>
      <c r="L661">
        <v>524652.68999999994</v>
      </c>
      <c r="M661" s="2" t="s">
        <v>20</v>
      </c>
      <c r="N661">
        <v>7.6879375741474094</v>
      </c>
      <c r="O661">
        <v>5.3422125624864165</v>
      </c>
      <c r="P661">
        <v>15.953053683981743</v>
      </c>
      <c r="Q661">
        <v>156.55745222929937</v>
      </c>
      <c r="R661">
        <v>21.345115364335836</v>
      </c>
    </row>
    <row r="662" spans="1:18" x14ac:dyDescent="0.25">
      <c r="A662" s="1">
        <v>45859</v>
      </c>
      <c r="B662" s="2" t="s">
        <v>33</v>
      </c>
      <c r="C662" s="2" t="s">
        <v>34</v>
      </c>
      <c r="D662" s="2" t="s">
        <v>35</v>
      </c>
      <c r="E662" s="2" t="s">
        <v>41</v>
      </c>
      <c r="F662">
        <v>183044</v>
      </c>
      <c r="G662">
        <v>9780</v>
      </c>
      <c r="H662">
        <v>2113</v>
      </c>
      <c r="I662">
        <v>1094</v>
      </c>
      <c r="J662">
        <v>518</v>
      </c>
      <c r="K662">
        <v>149648.03</v>
      </c>
      <c r="L662">
        <v>2135225.13</v>
      </c>
      <c r="M662" s="2" t="s">
        <v>21</v>
      </c>
      <c r="N662">
        <v>5.3429776447193023</v>
      </c>
      <c r="O662">
        <v>15.301434560327198</v>
      </c>
      <c r="P662">
        <v>21.605316973415135</v>
      </c>
      <c r="Q662">
        <v>288.89581081081081</v>
      </c>
      <c r="R662">
        <v>14.268314323950673</v>
      </c>
    </row>
    <row r="663" spans="1:18" x14ac:dyDescent="0.25">
      <c r="A663" s="1">
        <v>45860</v>
      </c>
      <c r="B663" s="2" t="s">
        <v>33</v>
      </c>
      <c r="C663" s="2" t="s">
        <v>34</v>
      </c>
      <c r="D663" s="2" t="s">
        <v>35</v>
      </c>
      <c r="E663" s="2" t="s">
        <v>41</v>
      </c>
      <c r="F663">
        <v>295519</v>
      </c>
      <c r="G663">
        <v>20154</v>
      </c>
      <c r="H663">
        <v>3461</v>
      </c>
      <c r="I663">
        <v>1995</v>
      </c>
      <c r="J663">
        <v>1138</v>
      </c>
      <c r="K663">
        <v>221471.19</v>
      </c>
      <c r="L663">
        <v>8555769.9199999999</v>
      </c>
      <c r="M663" s="2" t="s">
        <v>20</v>
      </c>
      <c r="N663">
        <v>6.8198660661412625</v>
      </c>
      <c r="O663">
        <v>10.988944626376899</v>
      </c>
      <c r="P663">
        <v>17.172769673513944</v>
      </c>
      <c r="Q663">
        <v>194.61440246045694</v>
      </c>
      <c r="R663">
        <v>38.631525481937402</v>
      </c>
    </row>
    <row r="664" spans="1:18" x14ac:dyDescent="0.25">
      <c r="A664" s="1">
        <v>45861</v>
      </c>
      <c r="B664" s="2" t="s">
        <v>33</v>
      </c>
      <c r="C664" s="2" t="s">
        <v>34</v>
      </c>
      <c r="D664" s="2" t="s">
        <v>35</v>
      </c>
      <c r="E664" s="2" t="s">
        <v>41</v>
      </c>
      <c r="F664">
        <v>102281</v>
      </c>
      <c r="G664">
        <v>7277</v>
      </c>
      <c r="H664">
        <v>1524</v>
      </c>
      <c r="I664">
        <v>814</v>
      </c>
      <c r="J664">
        <v>398</v>
      </c>
      <c r="K664">
        <v>41674.82</v>
      </c>
      <c r="L664">
        <v>2247547.73</v>
      </c>
      <c r="M664" s="2" t="s">
        <v>20</v>
      </c>
      <c r="N664">
        <v>7.1147133876282007</v>
      </c>
      <c r="O664">
        <v>5.7269231826302045</v>
      </c>
      <c r="P664">
        <v>20.942696166002474</v>
      </c>
      <c r="Q664">
        <v>104.71060301507538</v>
      </c>
      <c r="R664">
        <v>53.93059238168275</v>
      </c>
    </row>
    <row r="665" spans="1:18" x14ac:dyDescent="0.25">
      <c r="A665" s="1">
        <v>45862</v>
      </c>
      <c r="B665" s="2" t="s">
        <v>33</v>
      </c>
      <c r="C665" s="2" t="s">
        <v>34</v>
      </c>
      <c r="D665" s="2" t="s">
        <v>35</v>
      </c>
      <c r="E665" s="2" t="s">
        <v>41</v>
      </c>
      <c r="F665">
        <v>69228</v>
      </c>
      <c r="G665">
        <v>2248</v>
      </c>
      <c r="H665">
        <v>378</v>
      </c>
      <c r="I665">
        <v>231</v>
      </c>
      <c r="J665">
        <v>127</v>
      </c>
      <c r="K665">
        <v>47888.71</v>
      </c>
      <c r="L665">
        <v>980730.14</v>
      </c>
      <c r="M665" s="2" t="s">
        <v>20</v>
      </c>
      <c r="N665">
        <v>3.2472410007511407</v>
      </c>
      <c r="O665">
        <v>21.302806939501778</v>
      </c>
      <c r="P665">
        <v>16.814946619217082</v>
      </c>
      <c r="Q665">
        <v>377.07645669291338</v>
      </c>
      <c r="R665">
        <v>20.479360166519417</v>
      </c>
    </row>
    <row r="666" spans="1:18" x14ac:dyDescent="0.25">
      <c r="A666" s="1">
        <v>45863</v>
      </c>
      <c r="B666" s="2" t="s">
        <v>33</v>
      </c>
      <c r="C666" s="2" t="s">
        <v>34</v>
      </c>
      <c r="D666" s="2" t="s">
        <v>35</v>
      </c>
      <c r="E666" s="2" t="s">
        <v>41</v>
      </c>
      <c r="F666">
        <v>195078</v>
      </c>
      <c r="G666">
        <v>11378</v>
      </c>
      <c r="H666">
        <v>2824</v>
      </c>
      <c r="I666">
        <v>1362</v>
      </c>
      <c r="J666">
        <v>720</v>
      </c>
      <c r="K666">
        <v>101190.07</v>
      </c>
      <c r="L666">
        <v>4473021.84</v>
      </c>
      <c r="M666" s="2" t="s">
        <v>20</v>
      </c>
      <c r="N666">
        <v>5.8325387793600507</v>
      </c>
      <c r="O666">
        <v>8.8934847952188445</v>
      </c>
      <c r="P666">
        <v>24.819827737739498</v>
      </c>
      <c r="Q666">
        <v>140.54176388888891</v>
      </c>
      <c r="R666">
        <v>44.204157977161195</v>
      </c>
    </row>
    <row r="667" spans="1:18" x14ac:dyDescent="0.25">
      <c r="A667" s="1">
        <v>45864</v>
      </c>
      <c r="B667" s="2" t="s">
        <v>33</v>
      </c>
      <c r="C667" s="2" t="s">
        <v>34</v>
      </c>
      <c r="D667" s="2" t="s">
        <v>35</v>
      </c>
      <c r="E667" s="2" t="s">
        <v>41</v>
      </c>
      <c r="F667">
        <v>98148</v>
      </c>
      <c r="G667">
        <v>6924</v>
      </c>
      <c r="H667">
        <v>1556</v>
      </c>
      <c r="I667">
        <v>839</v>
      </c>
      <c r="J667">
        <v>415</v>
      </c>
      <c r="K667">
        <v>82010.11</v>
      </c>
      <c r="L667">
        <v>2689713.42</v>
      </c>
      <c r="M667" s="2" t="s">
        <v>21</v>
      </c>
      <c r="N667">
        <v>7.0546521579655215</v>
      </c>
      <c r="O667">
        <v>11.844325534373194</v>
      </c>
      <c r="P667">
        <v>22.472559214326978</v>
      </c>
      <c r="Q667">
        <v>197.61472289156626</v>
      </c>
      <c r="R667">
        <v>32.797339498752045</v>
      </c>
    </row>
    <row r="668" spans="1:18" x14ac:dyDescent="0.25">
      <c r="A668" s="1">
        <v>45865</v>
      </c>
      <c r="B668" s="2" t="s">
        <v>33</v>
      </c>
      <c r="C668" s="2" t="s">
        <v>34</v>
      </c>
      <c r="D668" s="2" t="s">
        <v>35</v>
      </c>
      <c r="E668" s="2" t="s">
        <v>41</v>
      </c>
      <c r="F668">
        <v>288669</v>
      </c>
      <c r="G668">
        <v>16685</v>
      </c>
      <c r="H668">
        <v>2685</v>
      </c>
      <c r="I668">
        <v>1692</v>
      </c>
      <c r="J668">
        <v>697</v>
      </c>
      <c r="K668">
        <v>197363.38</v>
      </c>
      <c r="L668">
        <v>2266273.4</v>
      </c>
      <c r="M668" s="2" t="s">
        <v>19</v>
      </c>
      <c r="N668">
        <v>5.7799763743249191</v>
      </c>
      <c r="O668">
        <v>11.828791129757267</v>
      </c>
      <c r="P668">
        <v>16.092298471681151</v>
      </c>
      <c r="Q668">
        <v>283.16123385939744</v>
      </c>
      <c r="R668">
        <v>11.482745177955504</v>
      </c>
    </row>
    <row r="669" spans="1:18" x14ac:dyDescent="0.25">
      <c r="A669" s="1">
        <v>45866</v>
      </c>
      <c r="B669" s="2" t="s">
        <v>33</v>
      </c>
      <c r="C669" s="2" t="s">
        <v>34</v>
      </c>
      <c r="D669" s="2" t="s">
        <v>35</v>
      </c>
      <c r="E669" s="2" t="s">
        <v>41</v>
      </c>
      <c r="F669">
        <v>228940</v>
      </c>
      <c r="G669">
        <v>7307</v>
      </c>
      <c r="H669">
        <v>1297</v>
      </c>
      <c r="I669">
        <v>812</v>
      </c>
      <c r="J669">
        <v>445</v>
      </c>
      <c r="K669">
        <v>100965.24</v>
      </c>
      <c r="L669">
        <v>1835902.46</v>
      </c>
      <c r="M669" s="2" t="s">
        <v>23</v>
      </c>
      <c r="N669">
        <v>3.1916659386738884</v>
      </c>
      <c r="O669">
        <v>13.817605036266594</v>
      </c>
      <c r="P669">
        <v>17.75010264130286</v>
      </c>
      <c r="Q669">
        <v>226.88817977528092</v>
      </c>
      <c r="R669">
        <v>18.18351008723398</v>
      </c>
    </row>
    <row r="670" spans="1:18" x14ac:dyDescent="0.25">
      <c r="A670" s="1">
        <v>45867</v>
      </c>
      <c r="B670" s="2" t="s">
        <v>33</v>
      </c>
      <c r="C670" s="2" t="s">
        <v>34</v>
      </c>
      <c r="D670" s="2" t="s">
        <v>35</v>
      </c>
      <c r="E670" s="2" t="s">
        <v>41</v>
      </c>
      <c r="F670">
        <v>103373</v>
      </c>
      <c r="G670">
        <v>6280</v>
      </c>
      <c r="H670">
        <v>1324</v>
      </c>
      <c r="I670">
        <v>665</v>
      </c>
      <c r="J670">
        <v>319</v>
      </c>
      <c r="K670">
        <v>91234.94</v>
      </c>
      <c r="L670">
        <v>1337659.8600000001</v>
      </c>
      <c r="M670" s="2" t="s">
        <v>22</v>
      </c>
      <c r="N670">
        <v>6.0750873051957477</v>
      </c>
      <c r="O670">
        <v>14.52785668789809</v>
      </c>
      <c r="P670">
        <v>21.082802547770701</v>
      </c>
      <c r="Q670">
        <v>286.00294670846398</v>
      </c>
      <c r="R670">
        <v>14.661705920999127</v>
      </c>
    </row>
    <row r="671" spans="1:18" x14ac:dyDescent="0.25">
      <c r="A671" s="1">
        <v>45868</v>
      </c>
      <c r="B671" s="2" t="s">
        <v>33</v>
      </c>
      <c r="C671" s="2" t="s">
        <v>34</v>
      </c>
      <c r="D671" s="2" t="s">
        <v>35</v>
      </c>
      <c r="E671" s="2" t="s">
        <v>41</v>
      </c>
      <c r="F671">
        <v>183663</v>
      </c>
      <c r="G671">
        <v>7335</v>
      </c>
      <c r="H671">
        <v>1401</v>
      </c>
      <c r="I671">
        <v>843</v>
      </c>
      <c r="J671">
        <v>357</v>
      </c>
      <c r="K671">
        <v>159534.43</v>
      </c>
      <c r="L671">
        <v>2405412.1800000002</v>
      </c>
      <c r="M671" s="2" t="s">
        <v>22</v>
      </c>
      <c r="N671">
        <v>3.993727642475621</v>
      </c>
      <c r="O671">
        <v>21.74975187457396</v>
      </c>
      <c r="P671">
        <v>19.100204498977504</v>
      </c>
      <c r="Q671">
        <v>446.87515406162464</v>
      </c>
      <c r="R671">
        <v>15.077699403194661</v>
      </c>
    </row>
    <row r="672" spans="1:18" x14ac:dyDescent="0.25">
      <c r="A672" s="1">
        <v>45869</v>
      </c>
      <c r="B672" s="2" t="s">
        <v>33</v>
      </c>
      <c r="C672" s="2" t="s">
        <v>34</v>
      </c>
      <c r="D672" s="2" t="s">
        <v>35</v>
      </c>
      <c r="E672" s="2" t="s">
        <v>41</v>
      </c>
      <c r="F672">
        <v>125289</v>
      </c>
      <c r="G672">
        <v>5916</v>
      </c>
      <c r="H672">
        <v>1354</v>
      </c>
      <c r="I672">
        <v>610</v>
      </c>
      <c r="J672">
        <v>295</v>
      </c>
      <c r="K672">
        <v>81381.38</v>
      </c>
      <c r="L672">
        <v>2009705.99</v>
      </c>
      <c r="M672" s="2" t="s">
        <v>20</v>
      </c>
      <c r="N672">
        <v>4.7218830064889969</v>
      </c>
      <c r="O672">
        <v>13.756149425287358</v>
      </c>
      <c r="P672">
        <v>22.88708586883029</v>
      </c>
      <c r="Q672">
        <v>275.86908474576273</v>
      </c>
      <c r="R672">
        <v>24.694911661611044</v>
      </c>
    </row>
    <row r="673" spans="1:18" x14ac:dyDescent="0.25">
      <c r="A673" s="1">
        <v>45870</v>
      </c>
      <c r="B673" s="2" t="s">
        <v>33</v>
      </c>
      <c r="C673" s="2" t="s">
        <v>34</v>
      </c>
      <c r="D673" s="2" t="s">
        <v>35</v>
      </c>
      <c r="E673" s="2" t="s">
        <v>41</v>
      </c>
      <c r="F673">
        <v>82289</v>
      </c>
      <c r="G673">
        <v>2865</v>
      </c>
      <c r="H673">
        <v>627</v>
      </c>
      <c r="I673">
        <v>344</v>
      </c>
      <c r="J673">
        <v>153</v>
      </c>
      <c r="K673">
        <v>72603.02</v>
      </c>
      <c r="L673">
        <v>791070.5</v>
      </c>
      <c r="M673" s="2" t="s">
        <v>22</v>
      </c>
      <c r="N673">
        <v>3.4816318098409265</v>
      </c>
      <c r="O673">
        <v>25.341368237347297</v>
      </c>
      <c r="P673">
        <v>21.8848167539267</v>
      </c>
      <c r="Q673">
        <v>474.52954248366018</v>
      </c>
      <c r="R673">
        <v>10.895834636079876</v>
      </c>
    </row>
    <row r="674" spans="1:18" x14ac:dyDescent="0.25">
      <c r="A674" s="1">
        <v>45871</v>
      </c>
      <c r="B674" s="2" t="s">
        <v>33</v>
      </c>
      <c r="C674" s="2" t="s">
        <v>34</v>
      </c>
      <c r="D674" s="2" t="s">
        <v>35</v>
      </c>
      <c r="E674" s="2" t="s">
        <v>41</v>
      </c>
      <c r="F674">
        <v>122204</v>
      </c>
      <c r="G674">
        <v>4702</v>
      </c>
      <c r="H674">
        <v>1151</v>
      </c>
      <c r="I674">
        <v>571</v>
      </c>
      <c r="J674">
        <v>334</v>
      </c>
      <c r="K674">
        <v>64654.83</v>
      </c>
      <c r="L674">
        <v>1107200.51</v>
      </c>
      <c r="M674" s="2" t="s">
        <v>23</v>
      </c>
      <c r="N674">
        <v>3.8476645608981701</v>
      </c>
      <c r="O674">
        <v>13.750495533815398</v>
      </c>
      <c r="P674">
        <v>24.478945129732029</v>
      </c>
      <c r="Q674">
        <v>193.57733532934131</v>
      </c>
      <c r="R674">
        <v>17.124791914231309</v>
      </c>
    </row>
    <row r="675" spans="1:18" x14ac:dyDescent="0.25">
      <c r="A675" s="1">
        <v>45872</v>
      </c>
      <c r="B675" s="2" t="s">
        <v>33</v>
      </c>
      <c r="C675" s="2" t="s">
        <v>34</v>
      </c>
      <c r="D675" s="2" t="s">
        <v>35</v>
      </c>
      <c r="E675" s="2" t="s">
        <v>41</v>
      </c>
      <c r="F675">
        <v>282568</v>
      </c>
      <c r="G675">
        <v>20991</v>
      </c>
      <c r="H675">
        <v>3160</v>
      </c>
      <c r="I675">
        <v>1720</v>
      </c>
      <c r="J675">
        <v>1027</v>
      </c>
      <c r="K675">
        <v>254928.95</v>
      </c>
      <c r="L675">
        <v>4693041.45</v>
      </c>
      <c r="M675" s="2" t="s">
        <v>20</v>
      </c>
      <c r="N675">
        <v>7.428654341609807</v>
      </c>
      <c r="O675">
        <v>12.144678671811729</v>
      </c>
      <c r="P675">
        <v>15.054070792244294</v>
      </c>
      <c r="Q675">
        <v>248.22682570593963</v>
      </c>
      <c r="R675">
        <v>18.409213429859573</v>
      </c>
    </row>
    <row r="676" spans="1:18" x14ac:dyDescent="0.25">
      <c r="A676" s="1">
        <v>45873</v>
      </c>
      <c r="B676" s="2" t="s">
        <v>33</v>
      </c>
      <c r="C676" s="2" t="s">
        <v>34</v>
      </c>
      <c r="D676" s="2" t="s">
        <v>35</v>
      </c>
      <c r="E676" s="2" t="s">
        <v>41</v>
      </c>
      <c r="F676">
        <v>276741</v>
      </c>
      <c r="G676">
        <v>8329</v>
      </c>
      <c r="H676">
        <v>2013</v>
      </c>
      <c r="I676">
        <v>1048</v>
      </c>
      <c r="J676">
        <v>550</v>
      </c>
      <c r="K676">
        <v>241422.3</v>
      </c>
      <c r="L676">
        <v>3218248.07</v>
      </c>
      <c r="M676" s="2" t="s">
        <v>19</v>
      </c>
      <c r="N676">
        <v>3.0096733046422468</v>
      </c>
      <c r="O676">
        <v>28.985748589266418</v>
      </c>
      <c r="P676">
        <v>24.168567655180695</v>
      </c>
      <c r="Q676">
        <v>438.94963636363633</v>
      </c>
      <c r="R676">
        <v>13.330367865768821</v>
      </c>
    </row>
    <row r="677" spans="1:18" x14ac:dyDescent="0.25">
      <c r="A677" s="1">
        <v>45874</v>
      </c>
      <c r="B677" s="2" t="s">
        <v>33</v>
      </c>
      <c r="C677" s="2" t="s">
        <v>34</v>
      </c>
      <c r="D677" s="2" t="s">
        <v>35</v>
      </c>
      <c r="E677" s="2" t="s">
        <v>41</v>
      </c>
      <c r="F677">
        <v>276190</v>
      </c>
      <c r="G677">
        <v>8837</v>
      </c>
      <c r="H677">
        <v>1345</v>
      </c>
      <c r="I677">
        <v>850</v>
      </c>
      <c r="J677">
        <v>400</v>
      </c>
      <c r="K677">
        <v>258734.91</v>
      </c>
      <c r="L677">
        <v>1603909.43</v>
      </c>
      <c r="M677" s="2" t="s">
        <v>19</v>
      </c>
      <c r="N677">
        <v>3.1996089648430424</v>
      </c>
      <c r="O677">
        <v>29.278591150843045</v>
      </c>
      <c r="P677">
        <v>15.220097318094375</v>
      </c>
      <c r="Q677">
        <v>646.83727499999998</v>
      </c>
      <c r="R677">
        <v>6.1990453085747106</v>
      </c>
    </row>
    <row r="678" spans="1:18" x14ac:dyDescent="0.25">
      <c r="A678" s="1">
        <v>45875</v>
      </c>
      <c r="B678" s="2" t="s">
        <v>33</v>
      </c>
      <c r="C678" s="2" t="s">
        <v>34</v>
      </c>
      <c r="D678" s="2" t="s">
        <v>35</v>
      </c>
      <c r="E678" s="2" t="s">
        <v>41</v>
      </c>
      <c r="F678">
        <v>157823</v>
      </c>
      <c r="G678">
        <v>7462</v>
      </c>
      <c r="H678">
        <v>1653</v>
      </c>
      <c r="I678">
        <v>1051</v>
      </c>
      <c r="J678">
        <v>551</v>
      </c>
      <c r="K678">
        <v>152142.20000000001</v>
      </c>
      <c r="L678">
        <v>2267468.2599999998</v>
      </c>
      <c r="M678" s="2" t="s">
        <v>19</v>
      </c>
      <c r="N678">
        <v>4.7280814583425732</v>
      </c>
      <c r="O678">
        <v>20.388930581613511</v>
      </c>
      <c r="P678">
        <v>22.152238005896542</v>
      </c>
      <c r="Q678">
        <v>276.12014519056265</v>
      </c>
      <c r="R678">
        <v>14.90361162123329</v>
      </c>
    </row>
    <row r="679" spans="1:18" x14ac:dyDescent="0.25">
      <c r="A679" s="1">
        <v>45876</v>
      </c>
      <c r="B679" s="2" t="s">
        <v>33</v>
      </c>
      <c r="C679" s="2" t="s">
        <v>34</v>
      </c>
      <c r="D679" s="2" t="s">
        <v>35</v>
      </c>
      <c r="E679" s="2" t="s">
        <v>41</v>
      </c>
      <c r="F679">
        <v>168164</v>
      </c>
      <c r="G679">
        <v>12919</v>
      </c>
      <c r="H679">
        <v>3045</v>
      </c>
      <c r="I679">
        <v>1753</v>
      </c>
      <c r="J679">
        <v>778</v>
      </c>
      <c r="K679">
        <v>141390.10999999999</v>
      </c>
      <c r="L679">
        <v>3060297.73</v>
      </c>
      <c r="M679" s="2" t="s">
        <v>19</v>
      </c>
      <c r="N679">
        <v>7.6823814847410858</v>
      </c>
      <c r="O679">
        <v>10.944354052171219</v>
      </c>
      <c r="P679">
        <v>23.569935753541298</v>
      </c>
      <c r="Q679">
        <v>181.73535989717223</v>
      </c>
      <c r="R679">
        <v>21.644354969382231</v>
      </c>
    </row>
    <row r="680" spans="1:18" x14ac:dyDescent="0.25">
      <c r="A680" s="1">
        <v>45877</v>
      </c>
      <c r="B680" s="2" t="s">
        <v>33</v>
      </c>
      <c r="C680" s="2" t="s">
        <v>34</v>
      </c>
      <c r="D680" s="2" t="s">
        <v>35</v>
      </c>
      <c r="E680" s="2" t="s">
        <v>41</v>
      </c>
      <c r="F680">
        <v>196818</v>
      </c>
      <c r="G680">
        <v>10477</v>
      </c>
      <c r="H680">
        <v>1940</v>
      </c>
      <c r="I680">
        <v>1106</v>
      </c>
      <c r="J680">
        <v>531</v>
      </c>
      <c r="K680">
        <v>148549.07</v>
      </c>
      <c r="L680">
        <v>4182575.02</v>
      </c>
      <c r="M680" s="2" t="s">
        <v>23</v>
      </c>
      <c r="N680">
        <v>5.3231919844729649</v>
      </c>
      <c r="O680">
        <v>14.178588336355828</v>
      </c>
      <c r="P680">
        <v>18.516750978333494</v>
      </c>
      <c r="Q680">
        <v>279.75342749529193</v>
      </c>
      <c r="R680">
        <v>28.156184485032455</v>
      </c>
    </row>
    <row r="681" spans="1:18" x14ac:dyDescent="0.25">
      <c r="A681" s="1">
        <v>45878</v>
      </c>
      <c r="B681" s="2" t="s">
        <v>33</v>
      </c>
      <c r="C681" s="2" t="s">
        <v>34</v>
      </c>
      <c r="D681" s="2" t="s">
        <v>35</v>
      </c>
      <c r="E681" s="2" t="s">
        <v>41</v>
      </c>
      <c r="F681">
        <v>87549</v>
      </c>
      <c r="G681">
        <v>4272</v>
      </c>
      <c r="H681">
        <v>877</v>
      </c>
      <c r="I681">
        <v>466</v>
      </c>
      <c r="J681">
        <v>259</v>
      </c>
      <c r="K681">
        <v>55978.68</v>
      </c>
      <c r="L681">
        <v>1264912.83</v>
      </c>
      <c r="M681" s="2" t="s">
        <v>20</v>
      </c>
      <c r="N681">
        <v>4.8795531645135863</v>
      </c>
      <c r="O681">
        <v>13.103623595505619</v>
      </c>
      <c r="P681">
        <v>20.529026217228463</v>
      </c>
      <c r="Q681">
        <v>216.13389961389962</v>
      </c>
      <c r="R681">
        <v>22.596331853484219</v>
      </c>
    </row>
    <row r="682" spans="1:18" x14ac:dyDescent="0.25">
      <c r="A682" s="1">
        <v>45879</v>
      </c>
      <c r="B682" s="2" t="s">
        <v>33</v>
      </c>
      <c r="C682" s="2" t="s">
        <v>34</v>
      </c>
      <c r="D682" s="2" t="s">
        <v>35</v>
      </c>
      <c r="E682" s="2" t="s">
        <v>41</v>
      </c>
      <c r="F682">
        <v>209975</v>
      </c>
      <c r="G682">
        <v>7033</v>
      </c>
      <c r="H682">
        <v>1633</v>
      </c>
      <c r="I682">
        <v>987</v>
      </c>
      <c r="J682">
        <v>489</v>
      </c>
      <c r="K682">
        <v>104015.44</v>
      </c>
      <c r="L682">
        <v>3787589.47</v>
      </c>
      <c r="M682" s="2" t="s">
        <v>19</v>
      </c>
      <c r="N682">
        <v>3.3494463626622215</v>
      </c>
      <c r="O682">
        <v>14.789626048627897</v>
      </c>
      <c r="P682">
        <v>23.219109910422294</v>
      </c>
      <c r="Q682">
        <v>212.71051124744378</v>
      </c>
      <c r="R682">
        <v>36.413723481821549</v>
      </c>
    </row>
    <row r="683" spans="1:18" x14ac:dyDescent="0.25">
      <c r="A683" s="1">
        <v>45880</v>
      </c>
      <c r="B683" s="2" t="s">
        <v>33</v>
      </c>
      <c r="C683" s="2" t="s">
        <v>34</v>
      </c>
      <c r="D683" s="2" t="s">
        <v>35</v>
      </c>
      <c r="E683" s="2" t="s">
        <v>41</v>
      </c>
      <c r="F683">
        <v>248579</v>
      </c>
      <c r="G683">
        <v>16137</v>
      </c>
      <c r="H683">
        <v>3772</v>
      </c>
      <c r="I683">
        <v>2122</v>
      </c>
      <c r="J683">
        <v>1032</v>
      </c>
      <c r="K683">
        <v>155529.26</v>
      </c>
      <c r="L683">
        <v>3706021.15</v>
      </c>
      <c r="M683" s="2" t="s">
        <v>20</v>
      </c>
      <c r="N683">
        <v>6.491698816070544</v>
      </c>
      <c r="O683">
        <v>9.6380529218566036</v>
      </c>
      <c r="P683">
        <v>23.374852822705584</v>
      </c>
      <c r="Q683">
        <v>150.70664728682172</v>
      </c>
      <c r="R683">
        <v>23.828449707791318</v>
      </c>
    </row>
    <row r="684" spans="1:18" x14ac:dyDescent="0.25">
      <c r="A684" s="1">
        <v>45881</v>
      </c>
      <c r="B684" s="2" t="s">
        <v>33</v>
      </c>
      <c r="C684" s="2" t="s">
        <v>34</v>
      </c>
      <c r="D684" s="2" t="s">
        <v>35</v>
      </c>
      <c r="E684" s="2" t="s">
        <v>41</v>
      </c>
      <c r="F684">
        <v>105929</v>
      </c>
      <c r="G684">
        <v>6513</v>
      </c>
      <c r="H684">
        <v>1176</v>
      </c>
      <c r="I684">
        <v>544</v>
      </c>
      <c r="J684">
        <v>290</v>
      </c>
      <c r="K684">
        <v>45471.22</v>
      </c>
      <c r="L684">
        <v>1842642.34</v>
      </c>
      <c r="M684" s="2" t="s">
        <v>20</v>
      </c>
      <c r="N684">
        <v>6.1484579293677841</v>
      </c>
      <c r="O684">
        <v>6.981609089513281</v>
      </c>
      <c r="P684">
        <v>18.056195301704285</v>
      </c>
      <c r="Q684">
        <v>156.79731034482759</v>
      </c>
      <c r="R684">
        <v>40.52326592512803</v>
      </c>
    </row>
    <row r="685" spans="1:18" x14ac:dyDescent="0.25">
      <c r="A685" s="1">
        <v>45882</v>
      </c>
      <c r="B685" s="2" t="s">
        <v>33</v>
      </c>
      <c r="C685" s="2" t="s">
        <v>34</v>
      </c>
      <c r="D685" s="2" t="s">
        <v>35</v>
      </c>
      <c r="E685" s="2" t="s">
        <v>41</v>
      </c>
      <c r="F685">
        <v>285906</v>
      </c>
      <c r="G685">
        <v>22490</v>
      </c>
      <c r="H685">
        <v>5143</v>
      </c>
      <c r="I685">
        <v>2920</v>
      </c>
      <c r="J685">
        <v>1595</v>
      </c>
      <c r="K685">
        <v>142184.53</v>
      </c>
      <c r="L685">
        <v>5142498.68</v>
      </c>
      <c r="M685" s="2" t="s">
        <v>20</v>
      </c>
      <c r="N685">
        <v>7.8662217651955535</v>
      </c>
      <c r="O685">
        <v>6.322122276567363</v>
      </c>
      <c r="P685">
        <v>22.867941307247666</v>
      </c>
      <c r="Q685">
        <v>89.143905956112846</v>
      </c>
      <c r="R685">
        <v>36.167779152907841</v>
      </c>
    </row>
    <row r="686" spans="1:18" x14ac:dyDescent="0.25">
      <c r="A686" s="1">
        <v>45883</v>
      </c>
      <c r="B686" s="2" t="s">
        <v>33</v>
      </c>
      <c r="C686" s="2" t="s">
        <v>34</v>
      </c>
      <c r="D686" s="2" t="s">
        <v>35</v>
      </c>
      <c r="E686" s="2" t="s">
        <v>41</v>
      </c>
      <c r="F686">
        <v>114829</v>
      </c>
      <c r="G686">
        <v>6699</v>
      </c>
      <c r="H686">
        <v>1279</v>
      </c>
      <c r="I686">
        <v>675</v>
      </c>
      <c r="J686">
        <v>334</v>
      </c>
      <c r="K686">
        <v>87179.3</v>
      </c>
      <c r="L686">
        <v>2116901.4700000002</v>
      </c>
      <c r="M686" s="2" t="s">
        <v>19</v>
      </c>
      <c r="N686">
        <v>5.8338921352619986</v>
      </c>
      <c r="O686">
        <v>13.013778175847142</v>
      </c>
      <c r="P686">
        <v>19.09240185102254</v>
      </c>
      <c r="Q686">
        <v>261.01586826347307</v>
      </c>
      <c r="R686">
        <v>24.282157232278767</v>
      </c>
    </row>
    <row r="687" spans="1:18" x14ac:dyDescent="0.25">
      <c r="A687" s="1">
        <v>45884</v>
      </c>
      <c r="B687" s="2" t="s">
        <v>33</v>
      </c>
      <c r="C687" s="2" t="s">
        <v>34</v>
      </c>
      <c r="D687" s="2" t="s">
        <v>35</v>
      </c>
      <c r="E687" s="2" t="s">
        <v>41</v>
      </c>
      <c r="F687">
        <v>139439</v>
      </c>
      <c r="G687">
        <v>8820</v>
      </c>
      <c r="H687">
        <v>2115</v>
      </c>
      <c r="I687">
        <v>1244</v>
      </c>
      <c r="J687">
        <v>610</v>
      </c>
      <c r="K687">
        <v>68482.23</v>
      </c>
      <c r="L687">
        <v>2965372.21</v>
      </c>
      <c r="M687" s="2" t="s">
        <v>21</v>
      </c>
      <c r="N687">
        <v>6.3253465673161742</v>
      </c>
      <c r="O687">
        <v>7.7644251700680265</v>
      </c>
      <c r="P687">
        <v>23.979591836734691</v>
      </c>
      <c r="Q687">
        <v>112.26595081967213</v>
      </c>
      <c r="R687">
        <v>43.301338317984097</v>
      </c>
    </row>
    <row r="688" spans="1:18" x14ac:dyDescent="0.25">
      <c r="A688" s="1">
        <v>45885</v>
      </c>
      <c r="B688" s="2" t="s">
        <v>33</v>
      </c>
      <c r="C688" s="2" t="s">
        <v>34</v>
      </c>
      <c r="D688" s="2" t="s">
        <v>35</v>
      </c>
      <c r="E688" s="2" t="s">
        <v>41</v>
      </c>
      <c r="F688">
        <v>156143</v>
      </c>
      <c r="G688">
        <v>12051</v>
      </c>
      <c r="H688">
        <v>2488</v>
      </c>
      <c r="I688">
        <v>1574</v>
      </c>
      <c r="J688">
        <v>776</v>
      </c>
      <c r="K688">
        <v>67878.95</v>
      </c>
      <c r="L688">
        <v>6203499.9299999997</v>
      </c>
      <c r="M688" s="2" t="s">
        <v>20</v>
      </c>
      <c r="N688">
        <v>7.7179252352010659</v>
      </c>
      <c r="O688">
        <v>5.6326404447763672</v>
      </c>
      <c r="P688">
        <v>20.645589577628414</v>
      </c>
      <c r="Q688">
        <v>87.472873711340199</v>
      </c>
      <c r="R688">
        <v>91.390628906310425</v>
      </c>
    </row>
    <row r="689" spans="1:18" x14ac:dyDescent="0.25">
      <c r="A689" s="1">
        <v>45886</v>
      </c>
      <c r="B689" s="2" t="s">
        <v>33</v>
      </c>
      <c r="C689" s="2" t="s">
        <v>34</v>
      </c>
      <c r="D689" s="2" t="s">
        <v>35</v>
      </c>
      <c r="E689" s="2" t="s">
        <v>41</v>
      </c>
      <c r="F689">
        <v>240812</v>
      </c>
      <c r="G689">
        <v>8480</v>
      </c>
      <c r="H689">
        <v>1398</v>
      </c>
      <c r="I689">
        <v>794</v>
      </c>
      <c r="J689">
        <v>351</v>
      </c>
      <c r="K689">
        <v>97560.76</v>
      </c>
      <c r="L689">
        <v>2504594.84</v>
      </c>
      <c r="M689" s="2" t="s">
        <v>21</v>
      </c>
      <c r="N689">
        <v>3.5214191983788181</v>
      </c>
      <c r="O689">
        <v>11.504806603773584</v>
      </c>
      <c r="P689">
        <v>16.485849056603776</v>
      </c>
      <c r="Q689">
        <v>277.95088319088319</v>
      </c>
      <c r="R689">
        <v>25.672153845459999</v>
      </c>
    </row>
    <row r="690" spans="1:18" x14ac:dyDescent="0.25">
      <c r="A690" s="1">
        <v>45887</v>
      </c>
      <c r="B690" s="2" t="s">
        <v>33</v>
      </c>
      <c r="C690" s="2" t="s">
        <v>34</v>
      </c>
      <c r="D690" s="2" t="s">
        <v>35</v>
      </c>
      <c r="E690" s="2" t="s">
        <v>41</v>
      </c>
      <c r="F690">
        <v>138243</v>
      </c>
      <c r="G690">
        <v>8910</v>
      </c>
      <c r="H690">
        <v>1845</v>
      </c>
      <c r="I690">
        <v>909</v>
      </c>
      <c r="J690">
        <v>537</v>
      </c>
      <c r="K690">
        <v>101458.77</v>
      </c>
      <c r="L690">
        <v>3422258.08</v>
      </c>
      <c r="M690" s="2" t="s">
        <v>23</v>
      </c>
      <c r="N690">
        <v>6.4451726308022828</v>
      </c>
      <c r="O690">
        <v>11.38706734006734</v>
      </c>
      <c r="P690">
        <v>20.707070707070706</v>
      </c>
      <c r="Q690">
        <v>188.93625698324024</v>
      </c>
      <c r="R690">
        <v>33.730529948273571</v>
      </c>
    </row>
    <row r="691" spans="1:18" x14ac:dyDescent="0.25">
      <c r="A691" s="1">
        <v>45888</v>
      </c>
      <c r="B691" s="2" t="s">
        <v>33</v>
      </c>
      <c r="C691" s="2" t="s">
        <v>34</v>
      </c>
      <c r="D691" s="2" t="s">
        <v>35</v>
      </c>
      <c r="E691" s="2" t="s">
        <v>41</v>
      </c>
      <c r="F691">
        <v>218087</v>
      </c>
      <c r="G691">
        <v>9347</v>
      </c>
      <c r="H691">
        <v>2279</v>
      </c>
      <c r="I691">
        <v>1102</v>
      </c>
      <c r="J691">
        <v>475</v>
      </c>
      <c r="K691">
        <v>204860.79</v>
      </c>
      <c r="L691">
        <v>2934887.01</v>
      </c>
      <c r="M691" s="2" t="s">
        <v>21</v>
      </c>
      <c r="N691">
        <v>4.285904249221641</v>
      </c>
      <c r="O691">
        <v>21.917277201241042</v>
      </c>
      <c r="P691">
        <v>24.382154702043437</v>
      </c>
      <c r="Q691">
        <v>431.28587368421057</v>
      </c>
      <c r="R691">
        <v>14.326250572400896</v>
      </c>
    </row>
    <row r="692" spans="1:18" x14ac:dyDescent="0.25">
      <c r="A692" s="1">
        <v>45889</v>
      </c>
      <c r="B692" s="2" t="s">
        <v>33</v>
      </c>
      <c r="C692" s="2" t="s">
        <v>34</v>
      </c>
      <c r="D692" s="2" t="s">
        <v>35</v>
      </c>
      <c r="E692" s="2" t="s">
        <v>41</v>
      </c>
      <c r="F692">
        <v>120567</v>
      </c>
      <c r="G692">
        <v>7874</v>
      </c>
      <c r="H692">
        <v>1738</v>
      </c>
      <c r="I692">
        <v>882</v>
      </c>
      <c r="J692">
        <v>513</v>
      </c>
      <c r="K692">
        <v>85980.89</v>
      </c>
      <c r="L692">
        <v>2514070.6800000002</v>
      </c>
      <c r="M692" s="2" t="s">
        <v>21</v>
      </c>
      <c r="N692">
        <v>6.5308085960503286</v>
      </c>
      <c r="O692">
        <v>10.919594869189739</v>
      </c>
      <c r="P692">
        <v>22.07264414528829</v>
      </c>
      <c r="Q692">
        <v>167.60407407407408</v>
      </c>
      <c r="R692">
        <v>29.239877372751085</v>
      </c>
    </row>
    <row r="693" spans="1:18" x14ac:dyDescent="0.25">
      <c r="A693" s="1">
        <v>45890</v>
      </c>
      <c r="B693" s="2" t="s">
        <v>33</v>
      </c>
      <c r="C693" s="2" t="s">
        <v>34</v>
      </c>
      <c r="D693" s="2" t="s">
        <v>35</v>
      </c>
      <c r="E693" s="2" t="s">
        <v>41</v>
      </c>
      <c r="F693">
        <v>60672</v>
      </c>
      <c r="G693">
        <v>4419</v>
      </c>
      <c r="H693">
        <v>871</v>
      </c>
      <c r="I693">
        <v>435</v>
      </c>
      <c r="J693">
        <v>245</v>
      </c>
      <c r="K693">
        <v>51458.58</v>
      </c>
      <c r="L693">
        <v>887743.91</v>
      </c>
      <c r="M693" s="2" t="s">
        <v>20</v>
      </c>
      <c r="N693">
        <v>7.2834256329113929</v>
      </c>
      <c r="O693">
        <v>11.644847250509166</v>
      </c>
      <c r="P693">
        <v>19.710341706268387</v>
      </c>
      <c r="Q693">
        <v>210.03502040816326</v>
      </c>
      <c r="R693">
        <v>17.251620818141504</v>
      </c>
    </row>
    <row r="694" spans="1:18" x14ac:dyDescent="0.25">
      <c r="A694" s="1">
        <v>45891</v>
      </c>
      <c r="B694" s="2" t="s">
        <v>33</v>
      </c>
      <c r="C694" s="2" t="s">
        <v>34</v>
      </c>
      <c r="D694" s="2" t="s">
        <v>35</v>
      </c>
      <c r="E694" s="2" t="s">
        <v>41</v>
      </c>
      <c r="F694">
        <v>100402</v>
      </c>
      <c r="G694">
        <v>5050</v>
      </c>
      <c r="H694">
        <v>816</v>
      </c>
      <c r="I694">
        <v>428</v>
      </c>
      <c r="J694">
        <v>214</v>
      </c>
      <c r="K694">
        <v>59444.37</v>
      </c>
      <c r="L694">
        <v>833256.71</v>
      </c>
      <c r="M694" s="2" t="s">
        <v>23</v>
      </c>
      <c r="N694">
        <v>5.0297802832612897</v>
      </c>
      <c r="O694">
        <v>11.771162376237625</v>
      </c>
      <c r="P694">
        <v>16.158415841584159</v>
      </c>
      <c r="Q694">
        <v>277.77742990654207</v>
      </c>
      <c r="R694">
        <v>14.017420152657012</v>
      </c>
    </row>
    <row r="695" spans="1:18" x14ac:dyDescent="0.25">
      <c r="A695" s="1">
        <v>45892</v>
      </c>
      <c r="B695" s="2" t="s">
        <v>33</v>
      </c>
      <c r="C695" s="2" t="s">
        <v>34</v>
      </c>
      <c r="D695" s="2" t="s">
        <v>35</v>
      </c>
      <c r="E695" s="2" t="s">
        <v>41</v>
      </c>
      <c r="F695">
        <v>182510</v>
      </c>
      <c r="G695">
        <v>10026</v>
      </c>
      <c r="H695">
        <v>2101</v>
      </c>
      <c r="I695">
        <v>1067</v>
      </c>
      <c r="J695">
        <v>537</v>
      </c>
      <c r="K695">
        <v>125713.35</v>
      </c>
      <c r="L695">
        <v>3892044.05</v>
      </c>
      <c r="M695" s="2" t="s">
        <v>21</v>
      </c>
      <c r="N695">
        <v>5.4933976220481062</v>
      </c>
      <c r="O695">
        <v>12.538734290843808</v>
      </c>
      <c r="P695">
        <v>20.955515659285854</v>
      </c>
      <c r="Q695">
        <v>234.10307262569833</v>
      </c>
      <c r="R695">
        <v>30.959671745284009</v>
      </c>
    </row>
    <row r="696" spans="1:18" x14ac:dyDescent="0.25">
      <c r="A696" s="1">
        <v>45893</v>
      </c>
      <c r="B696" s="2" t="s">
        <v>33</v>
      </c>
      <c r="C696" s="2" t="s">
        <v>34</v>
      </c>
      <c r="D696" s="2" t="s">
        <v>35</v>
      </c>
      <c r="E696" s="2" t="s">
        <v>41</v>
      </c>
      <c r="F696">
        <v>91784</v>
      </c>
      <c r="G696">
        <v>5762</v>
      </c>
      <c r="H696">
        <v>1342</v>
      </c>
      <c r="I696">
        <v>834</v>
      </c>
      <c r="J696">
        <v>453</v>
      </c>
      <c r="K696">
        <v>53692.75</v>
      </c>
      <c r="L696">
        <v>2444731.5</v>
      </c>
      <c r="M696" s="2" t="s">
        <v>21</v>
      </c>
      <c r="N696">
        <v>6.2777826200644995</v>
      </c>
      <c r="O696">
        <v>9.3184224227698724</v>
      </c>
      <c r="P696">
        <v>23.290524123568204</v>
      </c>
      <c r="Q696">
        <v>118.52704194260485</v>
      </c>
      <c r="R696">
        <v>45.531873483850241</v>
      </c>
    </row>
    <row r="697" spans="1:18" x14ac:dyDescent="0.25">
      <c r="A697" s="1">
        <v>45894</v>
      </c>
      <c r="B697" s="2" t="s">
        <v>33</v>
      </c>
      <c r="C697" s="2" t="s">
        <v>34</v>
      </c>
      <c r="D697" s="2" t="s">
        <v>35</v>
      </c>
      <c r="E697" s="2" t="s">
        <v>41</v>
      </c>
      <c r="F697">
        <v>277958</v>
      </c>
      <c r="G697">
        <v>10817</v>
      </c>
      <c r="H697">
        <v>2519</v>
      </c>
      <c r="I697">
        <v>1222</v>
      </c>
      <c r="J697">
        <v>546</v>
      </c>
      <c r="K697">
        <v>258352.11</v>
      </c>
      <c r="L697">
        <v>3167583.01</v>
      </c>
      <c r="M697" s="2" t="s">
        <v>19</v>
      </c>
      <c r="N697">
        <v>3.8915951330776593</v>
      </c>
      <c r="O697">
        <v>23.883896644171212</v>
      </c>
      <c r="P697">
        <v>23.28741795322178</v>
      </c>
      <c r="Q697">
        <v>473.1723626373626</v>
      </c>
      <c r="R697">
        <v>12.260720494986474</v>
      </c>
    </row>
    <row r="698" spans="1:18" x14ac:dyDescent="0.25">
      <c r="A698" s="1">
        <v>45895</v>
      </c>
      <c r="B698" s="2" t="s">
        <v>33</v>
      </c>
      <c r="C698" s="2" t="s">
        <v>34</v>
      </c>
      <c r="D698" s="2" t="s">
        <v>35</v>
      </c>
      <c r="E698" s="2" t="s">
        <v>41</v>
      </c>
      <c r="F698">
        <v>192183</v>
      </c>
      <c r="G698">
        <v>10955</v>
      </c>
      <c r="H698">
        <v>1911</v>
      </c>
      <c r="I698">
        <v>982</v>
      </c>
      <c r="J698">
        <v>531</v>
      </c>
      <c r="K698">
        <v>99989.22</v>
      </c>
      <c r="L698">
        <v>2721879.68</v>
      </c>
      <c r="M698" s="2" t="s">
        <v>23</v>
      </c>
      <c r="N698">
        <v>5.7002960719730673</v>
      </c>
      <c r="O698">
        <v>9.127267914194432</v>
      </c>
      <c r="P698">
        <v>17.444089456869012</v>
      </c>
      <c r="Q698">
        <v>188.30361581920903</v>
      </c>
      <c r="R698">
        <v>27.221731302634424</v>
      </c>
    </row>
    <row r="699" spans="1:18" x14ac:dyDescent="0.25">
      <c r="A699" s="1">
        <v>45896</v>
      </c>
      <c r="B699" s="2" t="s">
        <v>33</v>
      </c>
      <c r="C699" s="2" t="s">
        <v>34</v>
      </c>
      <c r="D699" s="2" t="s">
        <v>35</v>
      </c>
      <c r="E699" s="2" t="s">
        <v>41</v>
      </c>
      <c r="F699">
        <v>263391</v>
      </c>
      <c r="G699">
        <v>15760</v>
      </c>
      <c r="H699">
        <v>2389</v>
      </c>
      <c r="I699">
        <v>1303</v>
      </c>
      <c r="J699">
        <v>686</v>
      </c>
      <c r="K699">
        <v>138918.72</v>
      </c>
      <c r="L699">
        <v>3426291.48</v>
      </c>
      <c r="M699" s="2" t="s">
        <v>19</v>
      </c>
      <c r="N699">
        <v>5.9834998158631088</v>
      </c>
      <c r="O699">
        <v>8.8146395939086304</v>
      </c>
      <c r="P699">
        <v>15.158629441624367</v>
      </c>
      <c r="Q699">
        <v>202.50542274052478</v>
      </c>
      <c r="R699">
        <v>24.664001223161286</v>
      </c>
    </row>
    <row r="700" spans="1:18" x14ac:dyDescent="0.25">
      <c r="A700" s="1">
        <v>45897</v>
      </c>
      <c r="B700" s="2" t="s">
        <v>33</v>
      </c>
      <c r="C700" s="2" t="s">
        <v>34</v>
      </c>
      <c r="D700" s="2" t="s">
        <v>35</v>
      </c>
      <c r="E700" s="2" t="s">
        <v>41</v>
      </c>
      <c r="F700">
        <v>272021</v>
      </c>
      <c r="G700">
        <v>16255</v>
      </c>
      <c r="H700">
        <v>3053</v>
      </c>
      <c r="I700">
        <v>1496</v>
      </c>
      <c r="J700">
        <v>719</v>
      </c>
      <c r="K700">
        <v>201326.36</v>
      </c>
      <c r="L700">
        <v>2668478.92</v>
      </c>
      <c r="M700" s="2" t="s">
        <v>22</v>
      </c>
      <c r="N700">
        <v>5.9756415864951604</v>
      </c>
      <c r="O700">
        <v>12.385503537373115</v>
      </c>
      <c r="P700">
        <v>18.781913257459244</v>
      </c>
      <c r="Q700">
        <v>280.00884561891513</v>
      </c>
      <c r="R700">
        <v>13.254493450336062</v>
      </c>
    </row>
    <row r="701" spans="1:18" x14ac:dyDescent="0.25">
      <c r="A701" s="1">
        <v>45898</v>
      </c>
      <c r="B701" s="2" t="s">
        <v>33</v>
      </c>
      <c r="C701" s="2" t="s">
        <v>34</v>
      </c>
      <c r="D701" s="2" t="s">
        <v>35</v>
      </c>
      <c r="E701" s="2" t="s">
        <v>41</v>
      </c>
      <c r="F701">
        <v>156442</v>
      </c>
      <c r="G701">
        <v>5047</v>
      </c>
      <c r="H701">
        <v>1081</v>
      </c>
      <c r="I701">
        <v>616</v>
      </c>
      <c r="J701">
        <v>364</v>
      </c>
      <c r="K701">
        <v>81569.7</v>
      </c>
      <c r="L701">
        <v>1780402.59</v>
      </c>
      <c r="M701" s="2" t="s">
        <v>20</v>
      </c>
      <c r="N701">
        <v>3.2261157489676688</v>
      </c>
      <c r="O701">
        <v>16.162017039825638</v>
      </c>
      <c r="P701">
        <v>21.418664553199921</v>
      </c>
      <c r="Q701">
        <v>224.09258241758241</v>
      </c>
      <c r="R701">
        <v>21.826763982213986</v>
      </c>
    </row>
    <row r="702" spans="1:18" x14ac:dyDescent="0.25">
      <c r="A702" s="1">
        <v>45899</v>
      </c>
      <c r="B702" s="2" t="s">
        <v>33</v>
      </c>
      <c r="C702" s="2" t="s">
        <v>34</v>
      </c>
      <c r="D702" s="2" t="s">
        <v>35</v>
      </c>
      <c r="E702" s="2" t="s">
        <v>41</v>
      </c>
      <c r="F702">
        <v>247071</v>
      </c>
      <c r="G702">
        <v>14991</v>
      </c>
      <c r="H702">
        <v>3641</v>
      </c>
      <c r="I702">
        <v>1717</v>
      </c>
      <c r="J702">
        <v>746</v>
      </c>
      <c r="K702">
        <v>196671.42</v>
      </c>
      <c r="L702">
        <v>5676011.4400000004</v>
      </c>
      <c r="M702" s="2" t="s">
        <v>20</v>
      </c>
      <c r="N702">
        <v>6.0674866738710733</v>
      </c>
      <c r="O702">
        <v>13.11929957974785</v>
      </c>
      <c r="P702">
        <v>24.287906076979521</v>
      </c>
      <c r="Q702">
        <v>263.63461126005365</v>
      </c>
      <c r="R702">
        <v>28.860377577992775</v>
      </c>
    </row>
    <row r="703" spans="1:18" x14ac:dyDescent="0.25">
      <c r="A703" s="1">
        <v>45900</v>
      </c>
      <c r="B703" s="2" t="s">
        <v>33</v>
      </c>
      <c r="C703" s="2" t="s">
        <v>34</v>
      </c>
      <c r="D703" s="2" t="s">
        <v>35</v>
      </c>
      <c r="E703" s="2" t="s">
        <v>41</v>
      </c>
      <c r="F703">
        <v>250143</v>
      </c>
      <c r="G703">
        <v>13827</v>
      </c>
      <c r="H703">
        <v>2421</v>
      </c>
      <c r="I703">
        <v>1432</v>
      </c>
      <c r="J703">
        <v>812</v>
      </c>
      <c r="K703">
        <v>246806.14</v>
      </c>
      <c r="L703">
        <v>4206184.57</v>
      </c>
      <c r="M703" s="2" t="s">
        <v>21</v>
      </c>
      <c r="N703">
        <v>5.5276381909547743</v>
      </c>
      <c r="O703">
        <v>17.849579807622767</v>
      </c>
      <c r="P703">
        <v>17.509221089173359</v>
      </c>
      <c r="Q703">
        <v>303.94844827586206</v>
      </c>
      <c r="R703">
        <v>17.04246324665991</v>
      </c>
    </row>
    <row r="704" spans="1:18" x14ac:dyDescent="0.25">
      <c r="A704" s="1">
        <v>45901</v>
      </c>
      <c r="B704" s="2" t="s">
        <v>33</v>
      </c>
      <c r="C704" s="2" t="s">
        <v>34</v>
      </c>
      <c r="D704" s="2" t="s">
        <v>35</v>
      </c>
      <c r="E704" s="2" t="s">
        <v>41</v>
      </c>
      <c r="F704">
        <v>107058</v>
      </c>
      <c r="G704">
        <v>3243</v>
      </c>
      <c r="H704">
        <v>768</v>
      </c>
      <c r="I704">
        <v>451</v>
      </c>
      <c r="J704">
        <v>183</v>
      </c>
      <c r="K704">
        <v>93964.07</v>
      </c>
      <c r="L704">
        <v>1201913.08</v>
      </c>
      <c r="M704" s="2" t="s">
        <v>23</v>
      </c>
      <c r="N704">
        <v>3.0291991257075606</v>
      </c>
      <c r="O704">
        <v>28.974427998766576</v>
      </c>
      <c r="P704">
        <v>23.681776133209993</v>
      </c>
      <c r="Q704">
        <v>513.4648633879782</v>
      </c>
      <c r="R704">
        <v>12.791198593249526</v>
      </c>
    </row>
    <row r="705" spans="1:18" x14ac:dyDescent="0.25">
      <c r="A705" s="1">
        <v>45902</v>
      </c>
      <c r="B705" s="2" t="s">
        <v>33</v>
      </c>
      <c r="C705" s="2" t="s">
        <v>34</v>
      </c>
      <c r="D705" s="2" t="s">
        <v>35</v>
      </c>
      <c r="E705" s="2" t="s">
        <v>41</v>
      </c>
      <c r="F705">
        <v>70747</v>
      </c>
      <c r="G705">
        <v>4626</v>
      </c>
      <c r="H705">
        <v>1107</v>
      </c>
      <c r="I705">
        <v>534</v>
      </c>
      <c r="J705">
        <v>275</v>
      </c>
      <c r="K705">
        <v>61069.08</v>
      </c>
      <c r="L705">
        <v>943623.62</v>
      </c>
      <c r="M705" s="2" t="s">
        <v>23</v>
      </c>
      <c r="N705">
        <v>6.5387931643744608</v>
      </c>
      <c r="O705">
        <v>13.201271076523994</v>
      </c>
      <c r="P705">
        <v>23.929961089494164</v>
      </c>
      <c r="Q705">
        <v>222.06938181818182</v>
      </c>
      <c r="R705">
        <v>15.451741208480625</v>
      </c>
    </row>
    <row r="706" spans="1:18" x14ac:dyDescent="0.25">
      <c r="A706" s="1">
        <v>45903</v>
      </c>
      <c r="B706" s="2" t="s">
        <v>33</v>
      </c>
      <c r="C706" s="2" t="s">
        <v>34</v>
      </c>
      <c r="D706" s="2" t="s">
        <v>35</v>
      </c>
      <c r="E706" s="2" t="s">
        <v>41</v>
      </c>
      <c r="F706">
        <v>239227</v>
      </c>
      <c r="G706">
        <v>14680</v>
      </c>
      <c r="H706">
        <v>3320</v>
      </c>
      <c r="I706">
        <v>1838</v>
      </c>
      <c r="J706">
        <v>874</v>
      </c>
      <c r="K706">
        <v>144170.21</v>
      </c>
      <c r="L706">
        <v>6122970.7599999998</v>
      </c>
      <c r="M706" s="2" t="s">
        <v>22</v>
      </c>
      <c r="N706">
        <v>6.1364310884640947</v>
      </c>
      <c r="O706">
        <v>9.8208589918256131</v>
      </c>
      <c r="P706">
        <v>22.615803814713896</v>
      </c>
      <c r="Q706">
        <v>164.95447368421051</v>
      </c>
      <c r="R706">
        <v>42.470429640076134</v>
      </c>
    </row>
    <row r="707" spans="1:18" x14ac:dyDescent="0.25">
      <c r="A707" s="1">
        <v>45904</v>
      </c>
      <c r="B707" s="2" t="s">
        <v>33</v>
      </c>
      <c r="C707" s="2" t="s">
        <v>34</v>
      </c>
      <c r="D707" s="2" t="s">
        <v>35</v>
      </c>
      <c r="E707" s="2" t="s">
        <v>41</v>
      </c>
      <c r="F707">
        <v>205200</v>
      </c>
      <c r="G707">
        <v>14587</v>
      </c>
      <c r="H707">
        <v>2970</v>
      </c>
      <c r="I707">
        <v>1688</v>
      </c>
      <c r="J707">
        <v>853</v>
      </c>
      <c r="K707">
        <v>110816.95</v>
      </c>
      <c r="L707">
        <v>5569954.6600000001</v>
      </c>
      <c r="M707" s="2" t="s">
        <v>21</v>
      </c>
      <c r="N707">
        <v>7.1086744639376214</v>
      </c>
      <c r="O707">
        <v>7.596966477000068</v>
      </c>
      <c r="P707">
        <v>20.360595050387332</v>
      </c>
      <c r="Q707">
        <v>129.91436107854631</v>
      </c>
      <c r="R707">
        <v>50.26265981873712</v>
      </c>
    </row>
    <row r="708" spans="1:18" x14ac:dyDescent="0.25">
      <c r="A708" s="1">
        <v>45905</v>
      </c>
      <c r="B708" s="2" t="s">
        <v>33</v>
      </c>
      <c r="C708" s="2" t="s">
        <v>34</v>
      </c>
      <c r="D708" s="2" t="s">
        <v>35</v>
      </c>
      <c r="E708" s="2" t="s">
        <v>41</v>
      </c>
      <c r="F708">
        <v>281976</v>
      </c>
      <c r="G708">
        <v>15138</v>
      </c>
      <c r="H708">
        <v>3583</v>
      </c>
      <c r="I708">
        <v>1682</v>
      </c>
      <c r="J708">
        <v>882</v>
      </c>
      <c r="K708">
        <v>184334.8</v>
      </c>
      <c r="L708">
        <v>5829281.5499999998</v>
      </c>
      <c r="M708" s="2" t="s">
        <v>23</v>
      </c>
      <c r="N708">
        <v>5.3685420035747722</v>
      </c>
      <c r="O708">
        <v>12.176958647113224</v>
      </c>
      <c r="P708">
        <v>23.668912670101729</v>
      </c>
      <c r="Q708">
        <v>208.99637188208615</v>
      </c>
      <c r="R708">
        <v>31.62333726458596</v>
      </c>
    </row>
    <row r="709" spans="1:18" x14ac:dyDescent="0.25">
      <c r="A709" s="1">
        <v>45906</v>
      </c>
      <c r="B709" s="2" t="s">
        <v>33</v>
      </c>
      <c r="C709" s="2" t="s">
        <v>34</v>
      </c>
      <c r="D709" s="2" t="s">
        <v>35</v>
      </c>
      <c r="E709" s="2" t="s">
        <v>41</v>
      </c>
      <c r="F709">
        <v>137599</v>
      </c>
      <c r="G709">
        <v>10631</v>
      </c>
      <c r="H709">
        <v>2329</v>
      </c>
      <c r="I709">
        <v>1429</v>
      </c>
      <c r="J709">
        <v>624</v>
      </c>
      <c r="K709">
        <v>116671.7</v>
      </c>
      <c r="L709">
        <v>1995280.37</v>
      </c>
      <c r="M709" s="2" t="s">
        <v>22</v>
      </c>
      <c r="N709">
        <v>7.7260735906510947</v>
      </c>
      <c r="O709">
        <v>10.97466842253786</v>
      </c>
      <c r="P709">
        <v>21.907628633242403</v>
      </c>
      <c r="Q709">
        <v>186.97387820512819</v>
      </c>
      <c r="R709">
        <v>17.101665356723181</v>
      </c>
    </row>
    <row r="710" spans="1:18" x14ac:dyDescent="0.25">
      <c r="A710" s="1">
        <v>45907</v>
      </c>
      <c r="B710" s="2" t="s">
        <v>33</v>
      </c>
      <c r="C710" s="2" t="s">
        <v>34</v>
      </c>
      <c r="D710" s="2" t="s">
        <v>35</v>
      </c>
      <c r="E710" s="2" t="s">
        <v>41</v>
      </c>
      <c r="F710">
        <v>197813</v>
      </c>
      <c r="G710">
        <v>9162</v>
      </c>
      <c r="H710">
        <v>1467</v>
      </c>
      <c r="I710">
        <v>664</v>
      </c>
      <c r="J710">
        <v>331</v>
      </c>
      <c r="K710">
        <v>126646.91</v>
      </c>
      <c r="L710">
        <v>2242704.0299999998</v>
      </c>
      <c r="M710" s="2" t="s">
        <v>20</v>
      </c>
      <c r="N710">
        <v>4.6316470606077456</v>
      </c>
      <c r="O710">
        <v>13.823063741541148</v>
      </c>
      <c r="P710">
        <v>16.011787819253438</v>
      </c>
      <c r="Q710">
        <v>382.61906344410875</v>
      </c>
      <c r="R710">
        <v>17.708320163516028</v>
      </c>
    </row>
    <row r="711" spans="1:18" x14ac:dyDescent="0.25">
      <c r="A711" s="1">
        <v>45908</v>
      </c>
      <c r="B711" s="2" t="s">
        <v>33</v>
      </c>
      <c r="C711" s="2" t="s">
        <v>34</v>
      </c>
      <c r="D711" s="2" t="s">
        <v>35</v>
      </c>
      <c r="E711" s="2" t="s">
        <v>41</v>
      </c>
      <c r="F711">
        <v>183517</v>
      </c>
      <c r="G711">
        <v>8806</v>
      </c>
      <c r="H711">
        <v>1894</v>
      </c>
      <c r="I711">
        <v>1152</v>
      </c>
      <c r="J711">
        <v>607</v>
      </c>
      <c r="K711">
        <v>156011.44</v>
      </c>
      <c r="L711">
        <v>3701255.37</v>
      </c>
      <c r="M711" s="2" t="s">
        <v>19</v>
      </c>
      <c r="N711">
        <v>4.7984655372526799</v>
      </c>
      <c r="O711">
        <v>17.716493300022712</v>
      </c>
      <c r="P711">
        <v>21.508062684533272</v>
      </c>
      <c r="Q711">
        <v>257.02049423393743</v>
      </c>
      <c r="R711">
        <v>23.724256182751727</v>
      </c>
    </row>
    <row r="712" spans="1:18" x14ac:dyDescent="0.25">
      <c r="A712" s="1">
        <v>45909</v>
      </c>
      <c r="B712" s="2" t="s">
        <v>33</v>
      </c>
      <c r="C712" s="2" t="s">
        <v>34</v>
      </c>
      <c r="D712" s="2" t="s">
        <v>35</v>
      </c>
      <c r="E712" s="2" t="s">
        <v>41</v>
      </c>
      <c r="F712">
        <v>92749</v>
      </c>
      <c r="G712">
        <v>6844</v>
      </c>
      <c r="H712">
        <v>1354</v>
      </c>
      <c r="I712">
        <v>704</v>
      </c>
      <c r="J712">
        <v>396</v>
      </c>
      <c r="K712">
        <v>68351.570000000007</v>
      </c>
      <c r="L712">
        <v>1710346.58</v>
      </c>
      <c r="M712" s="2" t="s">
        <v>21</v>
      </c>
      <c r="N712">
        <v>7.3790552997875984</v>
      </c>
      <c r="O712">
        <v>9.9870791934541217</v>
      </c>
      <c r="P712">
        <v>19.78375219170076</v>
      </c>
      <c r="Q712">
        <v>172.60497474747476</v>
      </c>
      <c r="R712">
        <v>25.022784114541917</v>
      </c>
    </row>
    <row r="713" spans="1:18" x14ac:dyDescent="0.25">
      <c r="A713" s="1">
        <v>45910</v>
      </c>
      <c r="B713" s="2" t="s">
        <v>33</v>
      </c>
      <c r="C713" s="2" t="s">
        <v>34</v>
      </c>
      <c r="D713" s="2" t="s">
        <v>35</v>
      </c>
      <c r="E713" s="2" t="s">
        <v>41</v>
      </c>
      <c r="F713">
        <v>242936</v>
      </c>
      <c r="G713">
        <v>9558</v>
      </c>
      <c r="H713">
        <v>1983</v>
      </c>
      <c r="I713">
        <v>1172</v>
      </c>
      <c r="J713">
        <v>687</v>
      </c>
      <c r="K713">
        <v>221405.22</v>
      </c>
      <c r="L713">
        <v>3264776.12</v>
      </c>
      <c r="M713" s="2" t="s">
        <v>23</v>
      </c>
      <c r="N713">
        <v>3.9343695458886287</v>
      </c>
      <c r="O713">
        <v>23.164387947269304</v>
      </c>
      <c r="P713">
        <v>20.747018204645322</v>
      </c>
      <c r="Q713">
        <v>322.27834061135371</v>
      </c>
      <c r="R713">
        <v>14.745705272892843</v>
      </c>
    </row>
    <row r="714" spans="1:18" x14ac:dyDescent="0.25">
      <c r="A714" s="1">
        <v>45911</v>
      </c>
      <c r="B714" s="2" t="s">
        <v>33</v>
      </c>
      <c r="C714" s="2" t="s">
        <v>34</v>
      </c>
      <c r="D714" s="2" t="s">
        <v>35</v>
      </c>
      <c r="E714" s="2" t="s">
        <v>41</v>
      </c>
      <c r="F714">
        <v>99617</v>
      </c>
      <c r="G714">
        <v>3517</v>
      </c>
      <c r="H714">
        <v>638</v>
      </c>
      <c r="I714">
        <v>340</v>
      </c>
      <c r="J714">
        <v>165</v>
      </c>
      <c r="K714">
        <v>43282.33</v>
      </c>
      <c r="L714">
        <v>505160.33</v>
      </c>
      <c r="M714" s="2" t="s">
        <v>21</v>
      </c>
      <c r="N714">
        <v>3.5305218988726823</v>
      </c>
      <c r="O714">
        <v>12.306605061131647</v>
      </c>
      <c r="P714">
        <v>18.140460619846461</v>
      </c>
      <c r="Q714">
        <v>262.31715151515152</v>
      </c>
      <c r="R714">
        <v>11.671283177222668</v>
      </c>
    </row>
    <row r="715" spans="1:18" x14ac:dyDescent="0.25">
      <c r="A715" s="1">
        <v>45912</v>
      </c>
      <c r="B715" s="2" t="s">
        <v>33</v>
      </c>
      <c r="C715" s="2" t="s">
        <v>34</v>
      </c>
      <c r="D715" s="2" t="s">
        <v>35</v>
      </c>
      <c r="E715" s="2" t="s">
        <v>41</v>
      </c>
      <c r="F715">
        <v>76637</v>
      </c>
      <c r="G715">
        <v>3191</v>
      </c>
      <c r="H715">
        <v>733</v>
      </c>
      <c r="I715">
        <v>446</v>
      </c>
      <c r="J715">
        <v>203</v>
      </c>
      <c r="K715">
        <v>74481.25</v>
      </c>
      <c r="L715">
        <v>656000.98</v>
      </c>
      <c r="M715" s="2" t="s">
        <v>22</v>
      </c>
      <c r="N715">
        <v>4.1637851168495637</v>
      </c>
      <c r="O715">
        <v>23.341037292384833</v>
      </c>
      <c r="P715">
        <v>22.970855531181446</v>
      </c>
      <c r="Q715">
        <v>366.90270935960592</v>
      </c>
      <c r="R715">
        <v>8.8075989594696651</v>
      </c>
    </row>
    <row r="716" spans="1:18" x14ac:dyDescent="0.25">
      <c r="A716" s="1">
        <v>45913</v>
      </c>
      <c r="B716" s="2" t="s">
        <v>33</v>
      </c>
      <c r="C716" s="2" t="s">
        <v>34</v>
      </c>
      <c r="D716" s="2" t="s">
        <v>35</v>
      </c>
      <c r="E716" s="2" t="s">
        <v>41</v>
      </c>
      <c r="F716">
        <v>166151</v>
      </c>
      <c r="G716">
        <v>7773</v>
      </c>
      <c r="H716">
        <v>1561</v>
      </c>
      <c r="I716">
        <v>853</v>
      </c>
      <c r="J716">
        <v>511</v>
      </c>
      <c r="K716">
        <v>164748.20000000001</v>
      </c>
      <c r="L716">
        <v>4031732.04</v>
      </c>
      <c r="M716" s="2" t="s">
        <v>21</v>
      </c>
      <c r="N716">
        <v>4.6782745815553319</v>
      </c>
      <c r="O716">
        <v>21.194931172005663</v>
      </c>
      <c r="P716">
        <v>20.082336292293839</v>
      </c>
      <c r="Q716">
        <v>322.40352250489241</v>
      </c>
      <c r="R716">
        <v>24.472085522026948</v>
      </c>
    </row>
    <row r="717" spans="1:18" x14ac:dyDescent="0.25">
      <c r="A717" s="1">
        <v>45914</v>
      </c>
      <c r="B717" s="2" t="s">
        <v>33</v>
      </c>
      <c r="C717" s="2" t="s">
        <v>34</v>
      </c>
      <c r="D717" s="2" t="s">
        <v>35</v>
      </c>
      <c r="E717" s="2" t="s">
        <v>41</v>
      </c>
      <c r="F717">
        <v>107335</v>
      </c>
      <c r="G717">
        <v>5840</v>
      </c>
      <c r="H717">
        <v>883</v>
      </c>
      <c r="I717">
        <v>548</v>
      </c>
      <c r="J717">
        <v>311</v>
      </c>
      <c r="K717">
        <v>91579.99</v>
      </c>
      <c r="L717">
        <v>1951223.87</v>
      </c>
      <c r="M717" s="2" t="s">
        <v>19</v>
      </c>
      <c r="N717">
        <v>5.4409093026505797</v>
      </c>
      <c r="O717">
        <v>15.681505136986303</v>
      </c>
      <c r="P717">
        <v>15.11986301369863</v>
      </c>
      <c r="Q717">
        <v>294.46942122186499</v>
      </c>
      <c r="R717">
        <v>21.306224973381195</v>
      </c>
    </row>
    <row r="718" spans="1:18" x14ac:dyDescent="0.25">
      <c r="A718" s="1">
        <v>45915</v>
      </c>
      <c r="B718" s="2" t="s">
        <v>33</v>
      </c>
      <c r="C718" s="2" t="s">
        <v>34</v>
      </c>
      <c r="D718" s="2" t="s">
        <v>35</v>
      </c>
      <c r="E718" s="2" t="s">
        <v>41</v>
      </c>
      <c r="F718">
        <v>132078</v>
      </c>
      <c r="G718">
        <v>9148</v>
      </c>
      <c r="H718">
        <v>2250</v>
      </c>
      <c r="I718">
        <v>1070</v>
      </c>
      <c r="J718">
        <v>580</v>
      </c>
      <c r="K718">
        <v>89794.27</v>
      </c>
      <c r="L718">
        <v>2201670.15</v>
      </c>
      <c r="M718" s="2" t="s">
        <v>23</v>
      </c>
      <c r="N718">
        <v>6.9262102696891228</v>
      </c>
      <c r="O718">
        <v>9.8157269348491472</v>
      </c>
      <c r="P718">
        <v>24.595540008745083</v>
      </c>
      <c r="Q718">
        <v>154.81770689655173</v>
      </c>
      <c r="R718">
        <v>24.519049489460741</v>
      </c>
    </row>
    <row r="719" spans="1:18" x14ac:dyDescent="0.25">
      <c r="A719" s="1">
        <v>45916</v>
      </c>
      <c r="B719" s="2" t="s">
        <v>33</v>
      </c>
      <c r="C719" s="2" t="s">
        <v>34</v>
      </c>
      <c r="D719" s="2" t="s">
        <v>35</v>
      </c>
      <c r="E719" s="2" t="s">
        <v>41</v>
      </c>
      <c r="F719">
        <v>101493</v>
      </c>
      <c r="G719">
        <v>6771</v>
      </c>
      <c r="H719">
        <v>1085</v>
      </c>
      <c r="I719">
        <v>554</v>
      </c>
      <c r="J719">
        <v>279</v>
      </c>
      <c r="K719">
        <v>77121.89</v>
      </c>
      <c r="L719">
        <v>992341.27</v>
      </c>
      <c r="M719" s="2" t="s">
        <v>19</v>
      </c>
      <c r="N719">
        <v>6.6713960568709165</v>
      </c>
      <c r="O719">
        <v>11.390029537734456</v>
      </c>
      <c r="P719">
        <v>16.024220942253727</v>
      </c>
      <c r="Q719">
        <v>276.42254480286738</v>
      </c>
      <c r="R719">
        <v>12.867180381601125</v>
      </c>
    </row>
    <row r="720" spans="1:18" x14ac:dyDescent="0.25">
      <c r="A720" s="1">
        <v>45917</v>
      </c>
      <c r="B720" s="2" t="s">
        <v>33</v>
      </c>
      <c r="C720" s="2" t="s">
        <v>34</v>
      </c>
      <c r="D720" s="2" t="s">
        <v>35</v>
      </c>
      <c r="E720" s="2" t="s">
        <v>41</v>
      </c>
      <c r="F720">
        <v>111983</v>
      </c>
      <c r="G720">
        <v>6950</v>
      </c>
      <c r="H720">
        <v>1441</v>
      </c>
      <c r="I720">
        <v>658</v>
      </c>
      <c r="J720">
        <v>268</v>
      </c>
      <c r="K720">
        <v>90692.09</v>
      </c>
      <c r="L720">
        <v>1466996.16</v>
      </c>
      <c r="M720" s="2" t="s">
        <v>20</v>
      </c>
      <c r="N720">
        <v>6.2062991704097943</v>
      </c>
      <c r="O720">
        <v>13.049221582733812</v>
      </c>
      <c r="P720">
        <v>20.733812949640289</v>
      </c>
      <c r="Q720">
        <v>338.40332089552237</v>
      </c>
      <c r="R720">
        <v>16.175569004970555</v>
      </c>
    </row>
    <row r="721" spans="1:18" x14ac:dyDescent="0.25">
      <c r="A721" s="1">
        <v>45918</v>
      </c>
      <c r="B721" s="2" t="s">
        <v>33</v>
      </c>
      <c r="C721" s="2" t="s">
        <v>34</v>
      </c>
      <c r="D721" s="2" t="s">
        <v>35</v>
      </c>
      <c r="E721" s="2" t="s">
        <v>41</v>
      </c>
      <c r="F721">
        <v>215192</v>
      </c>
      <c r="G721">
        <v>7975</v>
      </c>
      <c r="H721">
        <v>1358</v>
      </c>
      <c r="I721">
        <v>818</v>
      </c>
      <c r="J721">
        <v>362</v>
      </c>
      <c r="K721">
        <v>93531.85</v>
      </c>
      <c r="L721">
        <v>2116994.9300000002</v>
      </c>
      <c r="M721" s="2" t="s">
        <v>20</v>
      </c>
      <c r="N721">
        <v>3.7059927878359789</v>
      </c>
      <c r="O721">
        <v>11.728131661442006</v>
      </c>
      <c r="P721">
        <v>17.028213166144202</v>
      </c>
      <c r="Q721">
        <v>258.37527624309394</v>
      </c>
      <c r="R721">
        <v>22.633946938930428</v>
      </c>
    </row>
    <row r="722" spans="1:18" x14ac:dyDescent="0.25">
      <c r="A722" s="1">
        <v>45919</v>
      </c>
      <c r="B722" s="2" t="s">
        <v>33</v>
      </c>
      <c r="C722" s="2" t="s">
        <v>34</v>
      </c>
      <c r="D722" s="2" t="s">
        <v>35</v>
      </c>
      <c r="E722" s="2" t="s">
        <v>41</v>
      </c>
      <c r="F722">
        <v>261009</v>
      </c>
      <c r="G722">
        <v>19792</v>
      </c>
      <c r="H722">
        <v>4855</v>
      </c>
      <c r="I722">
        <v>2851</v>
      </c>
      <c r="J722">
        <v>1191</v>
      </c>
      <c r="K722">
        <v>193741.4</v>
      </c>
      <c r="L722">
        <v>8258758.7300000004</v>
      </c>
      <c r="M722" s="2" t="s">
        <v>22</v>
      </c>
      <c r="N722">
        <v>7.5828802838216305</v>
      </c>
      <c r="O722">
        <v>9.7888742926434915</v>
      </c>
      <c r="P722">
        <v>24.53011317704123</v>
      </c>
      <c r="Q722">
        <v>162.67120067170444</v>
      </c>
      <c r="R722">
        <v>42.627743631459261</v>
      </c>
    </row>
    <row r="723" spans="1:18" x14ac:dyDescent="0.25">
      <c r="A723" s="1">
        <v>45920</v>
      </c>
      <c r="B723" s="2" t="s">
        <v>33</v>
      </c>
      <c r="C723" s="2" t="s">
        <v>34</v>
      </c>
      <c r="D723" s="2" t="s">
        <v>35</v>
      </c>
      <c r="E723" s="2" t="s">
        <v>41</v>
      </c>
      <c r="F723">
        <v>197776</v>
      </c>
      <c r="G723">
        <v>11695</v>
      </c>
      <c r="H723">
        <v>1855</v>
      </c>
      <c r="I723">
        <v>1099</v>
      </c>
      <c r="J723">
        <v>619</v>
      </c>
      <c r="K723">
        <v>120118.79</v>
      </c>
      <c r="L723">
        <v>3111027.07</v>
      </c>
      <c r="M723" s="2" t="s">
        <v>22</v>
      </c>
      <c r="N723">
        <v>5.9132554000485404</v>
      </c>
      <c r="O723">
        <v>10.270952543822146</v>
      </c>
      <c r="P723">
        <v>15.861479264643011</v>
      </c>
      <c r="Q723">
        <v>194.05297253634893</v>
      </c>
      <c r="R723">
        <v>25.899587150353412</v>
      </c>
    </row>
    <row r="724" spans="1:18" x14ac:dyDescent="0.25">
      <c r="A724" s="1">
        <v>45921</v>
      </c>
      <c r="B724" s="2" t="s">
        <v>33</v>
      </c>
      <c r="C724" s="2" t="s">
        <v>34</v>
      </c>
      <c r="D724" s="2" t="s">
        <v>35</v>
      </c>
      <c r="E724" s="2" t="s">
        <v>41</v>
      </c>
      <c r="F724">
        <v>272006</v>
      </c>
      <c r="G724">
        <v>16516</v>
      </c>
      <c r="H724">
        <v>2535</v>
      </c>
      <c r="I724">
        <v>1364</v>
      </c>
      <c r="J724">
        <v>637</v>
      </c>
      <c r="K724">
        <v>121243.02</v>
      </c>
      <c r="L724">
        <v>4131056.57</v>
      </c>
      <c r="M724" s="2" t="s">
        <v>22</v>
      </c>
      <c r="N724">
        <v>6.0719248840099116</v>
      </c>
      <c r="O724">
        <v>7.3409433276822478</v>
      </c>
      <c r="P724">
        <v>15.348752724630661</v>
      </c>
      <c r="Q724">
        <v>190.33441130298274</v>
      </c>
      <c r="R724">
        <v>34.072531103233814</v>
      </c>
    </row>
    <row r="725" spans="1:18" x14ac:dyDescent="0.25">
      <c r="A725" s="1">
        <v>45922</v>
      </c>
      <c r="B725" s="2" t="s">
        <v>33</v>
      </c>
      <c r="C725" s="2" t="s">
        <v>34</v>
      </c>
      <c r="D725" s="2" t="s">
        <v>35</v>
      </c>
      <c r="E725" s="2" t="s">
        <v>41</v>
      </c>
      <c r="F725">
        <v>130283</v>
      </c>
      <c r="G725">
        <v>4990</v>
      </c>
      <c r="H725">
        <v>834</v>
      </c>
      <c r="I725">
        <v>405</v>
      </c>
      <c r="J725">
        <v>218</v>
      </c>
      <c r="K725">
        <v>106682.68</v>
      </c>
      <c r="L725">
        <v>987967.58</v>
      </c>
      <c r="M725" s="2" t="s">
        <v>22</v>
      </c>
      <c r="N725">
        <v>3.8301236538919121</v>
      </c>
      <c r="O725">
        <v>21.379294589178354</v>
      </c>
      <c r="P725">
        <v>16.713426853707414</v>
      </c>
      <c r="Q725">
        <v>489.37009174311925</v>
      </c>
      <c r="R725">
        <v>9.2608057840316729</v>
      </c>
    </row>
    <row r="726" spans="1:18" x14ac:dyDescent="0.25">
      <c r="A726" s="1">
        <v>45923</v>
      </c>
      <c r="B726" s="2" t="s">
        <v>33</v>
      </c>
      <c r="C726" s="2" t="s">
        <v>34</v>
      </c>
      <c r="D726" s="2" t="s">
        <v>35</v>
      </c>
      <c r="E726" s="2" t="s">
        <v>41</v>
      </c>
      <c r="F726">
        <v>135555</v>
      </c>
      <c r="G726">
        <v>6016</v>
      </c>
      <c r="H726">
        <v>1132</v>
      </c>
      <c r="I726">
        <v>528</v>
      </c>
      <c r="J726">
        <v>291</v>
      </c>
      <c r="K726">
        <v>61223.53</v>
      </c>
      <c r="L726">
        <v>2126629.7599999998</v>
      </c>
      <c r="M726" s="2" t="s">
        <v>20</v>
      </c>
      <c r="N726">
        <v>4.4380509756187525</v>
      </c>
      <c r="O726">
        <v>10.17678357712766</v>
      </c>
      <c r="P726">
        <v>18.816489361702125</v>
      </c>
      <c r="Q726">
        <v>210.39013745704466</v>
      </c>
      <c r="R726">
        <v>34.735497283479077</v>
      </c>
    </row>
    <row r="727" spans="1:18" x14ac:dyDescent="0.25">
      <c r="A727" s="1">
        <v>45924</v>
      </c>
      <c r="B727" s="2" t="s">
        <v>33</v>
      </c>
      <c r="C727" s="2" t="s">
        <v>34</v>
      </c>
      <c r="D727" s="2" t="s">
        <v>35</v>
      </c>
      <c r="E727" s="2" t="s">
        <v>41</v>
      </c>
      <c r="F727">
        <v>170800</v>
      </c>
      <c r="G727">
        <v>9993</v>
      </c>
      <c r="H727">
        <v>1997</v>
      </c>
      <c r="I727">
        <v>1153</v>
      </c>
      <c r="J727">
        <v>565</v>
      </c>
      <c r="K727">
        <v>123954.87</v>
      </c>
      <c r="L727">
        <v>3933314.72</v>
      </c>
      <c r="M727" s="2" t="s">
        <v>20</v>
      </c>
      <c r="N727">
        <v>5.8507025761124121</v>
      </c>
      <c r="O727">
        <v>12.404169918943261</v>
      </c>
      <c r="P727">
        <v>19.983988792154509</v>
      </c>
      <c r="Q727">
        <v>219.38915044247787</v>
      </c>
      <c r="R727">
        <v>31.731828850290434</v>
      </c>
    </row>
    <row r="728" spans="1:18" x14ac:dyDescent="0.25">
      <c r="A728" s="1">
        <v>45925</v>
      </c>
      <c r="B728" s="2" t="s">
        <v>33</v>
      </c>
      <c r="C728" s="2" t="s">
        <v>34</v>
      </c>
      <c r="D728" s="2" t="s">
        <v>35</v>
      </c>
      <c r="E728" s="2" t="s">
        <v>41</v>
      </c>
      <c r="F728">
        <v>216281</v>
      </c>
      <c r="G728">
        <v>12275</v>
      </c>
      <c r="H728">
        <v>2743</v>
      </c>
      <c r="I728">
        <v>1436</v>
      </c>
      <c r="J728">
        <v>761</v>
      </c>
      <c r="K728">
        <v>153644.29999999999</v>
      </c>
      <c r="L728">
        <v>4620519.83</v>
      </c>
      <c r="M728" s="2" t="s">
        <v>22</v>
      </c>
      <c r="N728">
        <v>5.6754869822129548</v>
      </c>
      <c r="O728">
        <v>12.516847250509164</v>
      </c>
      <c r="P728">
        <v>22.346232179226071</v>
      </c>
      <c r="Q728">
        <v>201.89789750328512</v>
      </c>
      <c r="R728">
        <v>30.072835959420562</v>
      </c>
    </row>
    <row r="729" spans="1:18" x14ac:dyDescent="0.25">
      <c r="A729" s="1">
        <v>45926</v>
      </c>
      <c r="B729" s="2" t="s">
        <v>33</v>
      </c>
      <c r="C729" s="2" t="s">
        <v>34</v>
      </c>
      <c r="D729" s="2" t="s">
        <v>35</v>
      </c>
      <c r="E729" s="2" t="s">
        <v>41</v>
      </c>
      <c r="F729">
        <v>288814</v>
      </c>
      <c r="G729">
        <v>15144</v>
      </c>
      <c r="H729">
        <v>3229</v>
      </c>
      <c r="I729">
        <v>1667</v>
      </c>
      <c r="J729">
        <v>717</v>
      </c>
      <c r="K729">
        <v>184629.3</v>
      </c>
      <c r="L729">
        <v>5541722.6600000001</v>
      </c>
      <c r="M729" s="2" t="s">
        <v>21</v>
      </c>
      <c r="N729">
        <v>5.243513126094995</v>
      </c>
      <c r="O729">
        <v>12.191580824088748</v>
      </c>
      <c r="P729">
        <v>21.321975699947174</v>
      </c>
      <c r="Q729">
        <v>257.50251046025102</v>
      </c>
      <c r="R729">
        <v>30.015401997407782</v>
      </c>
    </row>
    <row r="730" spans="1:18" x14ac:dyDescent="0.25">
      <c r="A730" s="1">
        <v>45927</v>
      </c>
      <c r="B730" s="2" t="s">
        <v>33</v>
      </c>
      <c r="C730" s="2" t="s">
        <v>34</v>
      </c>
      <c r="D730" s="2" t="s">
        <v>35</v>
      </c>
      <c r="E730" s="2" t="s">
        <v>41</v>
      </c>
      <c r="F730">
        <v>63287</v>
      </c>
      <c r="G730">
        <v>2103</v>
      </c>
      <c r="H730">
        <v>392</v>
      </c>
      <c r="I730">
        <v>234</v>
      </c>
      <c r="J730">
        <v>105</v>
      </c>
      <c r="K730">
        <v>40525.230000000003</v>
      </c>
      <c r="L730">
        <v>774682.1</v>
      </c>
      <c r="M730" s="2" t="s">
        <v>19</v>
      </c>
      <c r="N730">
        <v>3.3229573214088202</v>
      </c>
      <c r="O730">
        <v>19.270199714693298</v>
      </c>
      <c r="P730">
        <v>18.640038040893963</v>
      </c>
      <c r="Q730">
        <v>385.95457142857146</v>
      </c>
      <c r="R730">
        <v>19.116044498698709</v>
      </c>
    </row>
    <row r="731" spans="1:18" x14ac:dyDescent="0.25">
      <c r="A731" s="1">
        <v>45928</v>
      </c>
      <c r="B731" s="2" t="s">
        <v>33</v>
      </c>
      <c r="C731" s="2" t="s">
        <v>34</v>
      </c>
      <c r="D731" s="2" t="s">
        <v>35</v>
      </c>
      <c r="E731" s="2" t="s">
        <v>41</v>
      </c>
      <c r="F731">
        <v>84362</v>
      </c>
      <c r="G731">
        <v>5530</v>
      </c>
      <c r="H731">
        <v>851</v>
      </c>
      <c r="I731">
        <v>502</v>
      </c>
      <c r="J731">
        <v>294</v>
      </c>
      <c r="K731">
        <v>70942.7</v>
      </c>
      <c r="L731">
        <v>1046903.01</v>
      </c>
      <c r="M731" s="2" t="s">
        <v>23</v>
      </c>
      <c r="N731">
        <v>6.5550840425784118</v>
      </c>
      <c r="O731">
        <v>12.828698010849909</v>
      </c>
      <c r="P731">
        <v>15.388788426763112</v>
      </c>
      <c r="Q731">
        <v>241.30170068027209</v>
      </c>
      <c r="R731">
        <v>14.757022357480052</v>
      </c>
    </row>
    <row r="732" spans="1:18" x14ac:dyDescent="0.25">
      <c r="A732" s="1">
        <v>45929</v>
      </c>
      <c r="B732" s="2" t="s">
        <v>33</v>
      </c>
      <c r="C732" s="2" t="s">
        <v>34</v>
      </c>
      <c r="D732" s="2" t="s">
        <v>35</v>
      </c>
      <c r="E732" s="2" t="s">
        <v>41</v>
      </c>
      <c r="F732">
        <v>183268</v>
      </c>
      <c r="G732">
        <v>7046</v>
      </c>
      <c r="H732">
        <v>1579</v>
      </c>
      <c r="I732">
        <v>810</v>
      </c>
      <c r="J732">
        <v>481</v>
      </c>
      <c r="K732">
        <v>179224.85</v>
      </c>
      <c r="L732">
        <v>2698270.88</v>
      </c>
      <c r="M732" s="2" t="s">
        <v>21</v>
      </c>
      <c r="N732">
        <v>3.8446428181679289</v>
      </c>
      <c r="O732">
        <v>25.436396537042295</v>
      </c>
      <c r="P732">
        <v>22.409877944933296</v>
      </c>
      <c r="Q732">
        <v>372.60883575883577</v>
      </c>
      <c r="R732">
        <v>15.0552274419535</v>
      </c>
    </row>
    <row r="733" spans="1:18" x14ac:dyDescent="0.25">
      <c r="A733" s="1">
        <v>45930</v>
      </c>
      <c r="B733" s="2" t="s">
        <v>33</v>
      </c>
      <c r="C733" s="2" t="s">
        <v>34</v>
      </c>
      <c r="D733" s="2" t="s">
        <v>35</v>
      </c>
      <c r="E733" s="2" t="s">
        <v>41</v>
      </c>
      <c r="F733">
        <v>262678</v>
      </c>
      <c r="G733">
        <v>8632</v>
      </c>
      <c r="H733">
        <v>1659</v>
      </c>
      <c r="I733">
        <v>1014</v>
      </c>
      <c r="J733">
        <v>452</v>
      </c>
      <c r="K733">
        <v>114033.33</v>
      </c>
      <c r="L733">
        <v>3043417.73</v>
      </c>
      <c r="M733" s="2" t="s">
        <v>23</v>
      </c>
      <c r="N733">
        <v>3.2861526279322977</v>
      </c>
      <c r="O733">
        <v>13.210534059314179</v>
      </c>
      <c r="P733">
        <v>19.219184430027802</v>
      </c>
      <c r="Q733">
        <v>252.28612831858408</v>
      </c>
      <c r="R733">
        <v>26.688843779270499</v>
      </c>
    </row>
    <row r="734" spans="1:18" x14ac:dyDescent="0.25">
      <c r="A734" s="1">
        <v>45931</v>
      </c>
      <c r="B734" s="2" t="s">
        <v>33</v>
      </c>
      <c r="C734" s="2" t="s">
        <v>34</v>
      </c>
      <c r="D734" s="2" t="s">
        <v>35</v>
      </c>
      <c r="E734" s="2" t="s">
        <v>41</v>
      </c>
      <c r="F734">
        <v>96963</v>
      </c>
      <c r="G734">
        <v>4818</v>
      </c>
      <c r="H734">
        <v>1033</v>
      </c>
      <c r="I734">
        <v>523</v>
      </c>
      <c r="J734">
        <v>239</v>
      </c>
      <c r="K734">
        <v>77182.98</v>
      </c>
      <c r="L734">
        <v>921080.74</v>
      </c>
      <c r="M734" s="2" t="s">
        <v>19</v>
      </c>
      <c r="N734">
        <v>4.968905665047493</v>
      </c>
      <c r="O734">
        <v>16.019713574097135</v>
      </c>
      <c r="P734">
        <v>21.440431714404319</v>
      </c>
      <c r="Q734">
        <v>322.94133891213386</v>
      </c>
      <c r="R734">
        <v>11.933728653648771</v>
      </c>
    </row>
    <row r="735" spans="1:18" x14ac:dyDescent="0.25">
      <c r="A735" s="1">
        <v>45932</v>
      </c>
      <c r="B735" s="2" t="s">
        <v>33</v>
      </c>
      <c r="C735" s="2" t="s">
        <v>34</v>
      </c>
      <c r="D735" s="2" t="s">
        <v>35</v>
      </c>
      <c r="E735" s="2" t="s">
        <v>41</v>
      </c>
      <c r="F735">
        <v>238932</v>
      </c>
      <c r="G735">
        <v>17897</v>
      </c>
      <c r="H735">
        <v>3400</v>
      </c>
      <c r="I735">
        <v>1696</v>
      </c>
      <c r="J735">
        <v>835</v>
      </c>
      <c r="K735">
        <v>154238.89000000001</v>
      </c>
      <c r="L735">
        <v>3986006.43</v>
      </c>
      <c r="M735" s="2" t="s">
        <v>23</v>
      </c>
      <c r="N735">
        <v>7.4904156831232322</v>
      </c>
      <c r="O735">
        <v>8.618142146728502</v>
      </c>
      <c r="P735">
        <v>18.997597362686484</v>
      </c>
      <c r="Q735">
        <v>184.71723353293416</v>
      </c>
      <c r="R735">
        <v>25.843069993566473</v>
      </c>
    </row>
    <row r="736" spans="1:18" x14ac:dyDescent="0.25">
      <c r="A736" s="1">
        <v>45933</v>
      </c>
      <c r="B736" s="2" t="s">
        <v>33</v>
      </c>
      <c r="C736" s="2" t="s">
        <v>34</v>
      </c>
      <c r="D736" s="2" t="s">
        <v>35</v>
      </c>
      <c r="E736" s="2" t="s">
        <v>41</v>
      </c>
      <c r="F736">
        <v>86613</v>
      </c>
      <c r="G736">
        <v>4270</v>
      </c>
      <c r="H736">
        <v>804</v>
      </c>
      <c r="I736">
        <v>520</v>
      </c>
      <c r="J736">
        <v>293</v>
      </c>
      <c r="K736">
        <v>81879.25</v>
      </c>
      <c r="L736">
        <v>2002746.27</v>
      </c>
      <c r="M736" s="2" t="s">
        <v>23</v>
      </c>
      <c r="N736">
        <v>4.9299758696731439</v>
      </c>
      <c r="O736">
        <v>19.175468384074943</v>
      </c>
      <c r="P736">
        <v>18.829039812646371</v>
      </c>
      <c r="Q736">
        <v>279.45136518771329</v>
      </c>
      <c r="R736">
        <v>24.459753478445393</v>
      </c>
    </row>
    <row r="737" spans="1:18" x14ac:dyDescent="0.25">
      <c r="A737" s="1">
        <v>45934</v>
      </c>
      <c r="B737" s="2" t="s">
        <v>33</v>
      </c>
      <c r="C737" s="2" t="s">
        <v>34</v>
      </c>
      <c r="D737" s="2" t="s">
        <v>35</v>
      </c>
      <c r="E737" s="2" t="s">
        <v>41</v>
      </c>
      <c r="F737">
        <v>133105</v>
      </c>
      <c r="G737">
        <v>6571</v>
      </c>
      <c r="H737">
        <v>1269</v>
      </c>
      <c r="I737">
        <v>758</v>
      </c>
      <c r="J737">
        <v>414</v>
      </c>
      <c r="K737">
        <v>125866.36</v>
      </c>
      <c r="L737">
        <v>2149460.89</v>
      </c>
      <c r="M737" s="2" t="s">
        <v>21</v>
      </c>
      <c r="N737">
        <v>4.9367041057811498</v>
      </c>
      <c r="O737">
        <v>19.154825749505402</v>
      </c>
      <c r="P737">
        <v>19.31212905189469</v>
      </c>
      <c r="Q737">
        <v>304.02502415458935</v>
      </c>
      <c r="R737">
        <v>17.077326221239733</v>
      </c>
    </row>
    <row r="738" spans="1:18" x14ac:dyDescent="0.25">
      <c r="A738" s="1">
        <v>45935</v>
      </c>
      <c r="B738" s="2" t="s">
        <v>33</v>
      </c>
      <c r="C738" s="2" t="s">
        <v>34</v>
      </c>
      <c r="D738" s="2" t="s">
        <v>35</v>
      </c>
      <c r="E738" s="2" t="s">
        <v>41</v>
      </c>
      <c r="F738">
        <v>277734</v>
      </c>
      <c r="G738">
        <v>16825</v>
      </c>
      <c r="H738">
        <v>4065</v>
      </c>
      <c r="I738">
        <v>1971</v>
      </c>
      <c r="J738">
        <v>1056</v>
      </c>
      <c r="K738">
        <v>248427.75</v>
      </c>
      <c r="L738">
        <v>5043350.97</v>
      </c>
      <c r="M738" s="2" t="s">
        <v>20</v>
      </c>
      <c r="N738">
        <v>6.0579547336660262</v>
      </c>
      <c r="O738">
        <v>14.765393759286775</v>
      </c>
      <c r="P738">
        <v>24.160475482912332</v>
      </c>
      <c r="Q738">
        <v>235.25355113636363</v>
      </c>
      <c r="R738">
        <v>20.301077355488665</v>
      </c>
    </row>
    <row r="739" spans="1:18" x14ac:dyDescent="0.25">
      <c r="A739" s="1">
        <v>45936</v>
      </c>
      <c r="B739" s="2" t="s">
        <v>33</v>
      </c>
      <c r="C739" s="2" t="s">
        <v>34</v>
      </c>
      <c r="D739" s="2" t="s">
        <v>35</v>
      </c>
      <c r="E739" s="2" t="s">
        <v>41</v>
      </c>
      <c r="F739">
        <v>116985</v>
      </c>
      <c r="G739">
        <v>8242</v>
      </c>
      <c r="H739">
        <v>1752</v>
      </c>
      <c r="I739">
        <v>845</v>
      </c>
      <c r="J739">
        <v>384</v>
      </c>
      <c r="K739">
        <v>92101.9</v>
      </c>
      <c r="L739">
        <v>2994088.87</v>
      </c>
      <c r="M739" s="2" t="s">
        <v>19</v>
      </c>
      <c r="N739">
        <v>7.0453476941488224</v>
      </c>
      <c r="O739">
        <v>11.174702742052899</v>
      </c>
      <c r="P739">
        <v>21.256976462023779</v>
      </c>
      <c r="Q739">
        <v>239.84869791666665</v>
      </c>
      <c r="R739">
        <v>32.50843761095048</v>
      </c>
    </row>
    <row r="740" spans="1:18" x14ac:dyDescent="0.25">
      <c r="A740" s="1">
        <v>45937</v>
      </c>
      <c r="B740" s="2" t="s">
        <v>33</v>
      </c>
      <c r="C740" s="2" t="s">
        <v>34</v>
      </c>
      <c r="D740" s="2" t="s">
        <v>35</v>
      </c>
      <c r="E740" s="2" t="s">
        <v>41</v>
      </c>
      <c r="F740">
        <v>229002</v>
      </c>
      <c r="G740">
        <v>17513</v>
      </c>
      <c r="H740">
        <v>3683</v>
      </c>
      <c r="I740">
        <v>2365</v>
      </c>
      <c r="J740">
        <v>1189</v>
      </c>
      <c r="K740">
        <v>161077.87</v>
      </c>
      <c r="L740">
        <v>9344118.6600000001</v>
      </c>
      <c r="M740" s="2" t="s">
        <v>21</v>
      </c>
      <c r="N740">
        <v>7.6475314626073141</v>
      </c>
      <c r="O740">
        <v>9.1976171986524289</v>
      </c>
      <c r="P740">
        <v>21.030091931707876</v>
      </c>
      <c r="Q740">
        <v>135.47339781328847</v>
      </c>
      <c r="R740">
        <v>58.009946741908124</v>
      </c>
    </row>
    <row r="741" spans="1:18" x14ac:dyDescent="0.25">
      <c r="A741" s="1">
        <v>45938</v>
      </c>
      <c r="B741" s="2" t="s">
        <v>33</v>
      </c>
      <c r="C741" s="2" t="s">
        <v>34</v>
      </c>
      <c r="D741" s="2" t="s">
        <v>35</v>
      </c>
      <c r="E741" s="2" t="s">
        <v>41</v>
      </c>
      <c r="F741">
        <v>190424</v>
      </c>
      <c r="G741">
        <v>10827</v>
      </c>
      <c r="H741">
        <v>2153</v>
      </c>
      <c r="I741">
        <v>1389</v>
      </c>
      <c r="J741">
        <v>633</v>
      </c>
      <c r="K741">
        <v>105225</v>
      </c>
      <c r="L741">
        <v>3490888.31</v>
      </c>
      <c r="M741" s="2" t="s">
        <v>22</v>
      </c>
      <c r="N741">
        <v>5.6857328908120826</v>
      </c>
      <c r="O741">
        <v>9.7187586589082855</v>
      </c>
      <c r="P741">
        <v>19.885471506419137</v>
      </c>
      <c r="Q741">
        <v>166.23222748815166</v>
      </c>
      <c r="R741">
        <v>33.175465051081019</v>
      </c>
    </row>
    <row r="742" spans="1:18" x14ac:dyDescent="0.25">
      <c r="A742" s="1">
        <v>45939</v>
      </c>
      <c r="B742" s="2" t="s">
        <v>33</v>
      </c>
      <c r="C742" s="2" t="s">
        <v>34</v>
      </c>
      <c r="D742" s="2" t="s">
        <v>35</v>
      </c>
      <c r="E742" s="2" t="s">
        <v>41</v>
      </c>
      <c r="F742">
        <v>110972</v>
      </c>
      <c r="G742">
        <v>4268</v>
      </c>
      <c r="H742">
        <v>982</v>
      </c>
      <c r="I742">
        <v>454</v>
      </c>
      <c r="J742">
        <v>200</v>
      </c>
      <c r="K742">
        <v>97229.71</v>
      </c>
      <c r="L742">
        <v>1191628</v>
      </c>
      <c r="M742" s="2" t="s">
        <v>21</v>
      </c>
      <c r="N742">
        <v>3.8460152110442269</v>
      </c>
      <c r="O742">
        <v>22.781094189315841</v>
      </c>
      <c r="P742">
        <v>23.008434864104967</v>
      </c>
      <c r="Q742">
        <v>486.14855000000006</v>
      </c>
      <c r="R742">
        <v>12.255801236062515</v>
      </c>
    </row>
    <row r="743" spans="1:18" x14ac:dyDescent="0.25">
      <c r="A743" s="1">
        <v>45940</v>
      </c>
      <c r="B743" s="2" t="s">
        <v>33</v>
      </c>
      <c r="C743" s="2" t="s">
        <v>34</v>
      </c>
      <c r="D743" s="2" t="s">
        <v>35</v>
      </c>
      <c r="E743" s="2" t="s">
        <v>41</v>
      </c>
      <c r="F743">
        <v>90691</v>
      </c>
      <c r="G743">
        <v>6497</v>
      </c>
      <c r="H743">
        <v>1168</v>
      </c>
      <c r="I743">
        <v>594</v>
      </c>
      <c r="J743">
        <v>242</v>
      </c>
      <c r="K743">
        <v>54234.25</v>
      </c>
      <c r="L743">
        <v>815080.48</v>
      </c>
      <c r="M743" s="2" t="s">
        <v>22</v>
      </c>
      <c r="N743">
        <v>7.1638861629048094</v>
      </c>
      <c r="O743">
        <v>8.3475835000769578</v>
      </c>
      <c r="P743">
        <v>17.977528089887642</v>
      </c>
      <c r="Q743">
        <v>224.10847107438016</v>
      </c>
      <c r="R743">
        <v>15.028888202565721</v>
      </c>
    </row>
    <row r="744" spans="1:18" x14ac:dyDescent="0.25">
      <c r="A744" s="1">
        <v>45941</v>
      </c>
      <c r="B744" s="2" t="s">
        <v>33</v>
      </c>
      <c r="C744" s="2" t="s">
        <v>34</v>
      </c>
      <c r="D744" s="2" t="s">
        <v>35</v>
      </c>
      <c r="E744" s="2" t="s">
        <v>41</v>
      </c>
      <c r="F744">
        <v>58157</v>
      </c>
      <c r="G744">
        <v>3232</v>
      </c>
      <c r="H744">
        <v>534</v>
      </c>
      <c r="I744">
        <v>257</v>
      </c>
      <c r="J744">
        <v>110</v>
      </c>
      <c r="K744">
        <v>53956</v>
      </c>
      <c r="L744">
        <v>475326.81</v>
      </c>
      <c r="M744" s="2" t="s">
        <v>21</v>
      </c>
      <c r="N744">
        <v>5.5573705658820094</v>
      </c>
      <c r="O744">
        <v>16.69430693069307</v>
      </c>
      <c r="P744">
        <v>16.522277227722775</v>
      </c>
      <c r="Q744">
        <v>490.5090909090909</v>
      </c>
      <c r="R744">
        <v>8.8095264660093413</v>
      </c>
    </row>
    <row r="745" spans="1:18" x14ac:dyDescent="0.25">
      <c r="A745" s="1">
        <v>45942</v>
      </c>
      <c r="B745" s="2" t="s">
        <v>33</v>
      </c>
      <c r="C745" s="2" t="s">
        <v>34</v>
      </c>
      <c r="D745" s="2" t="s">
        <v>35</v>
      </c>
      <c r="E745" s="2" t="s">
        <v>41</v>
      </c>
      <c r="F745">
        <v>135976</v>
      </c>
      <c r="G745">
        <v>10257</v>
      </c>
      <c r="H745">
        <v>1702</v>
      </c>
      <c r="I745">
        <v>1092</v>
      </c>
      <c r="J745">
        <v>457</v>
      </c>
      <c r="K745">
        <v>95285.119999999995</v>
      </c>
      <c r="L745">
        <v>1968745.07</v>
      </c>
      <c r="M745" s="2" t="s">
        <v>22</v>
      </c>
      <c r="N745">
        <v>7.5432429252220974</v>
      </c>
      <c r="O745">
        <v>9.2897650385102857</v>
      </c>
      <c r="P745">
        <v>16.593545871112411</v>
      </c>
      <c r="Q745">
        <v>208.5013566739606</v>
      </c>
      <c r="R745">
        <v>20.661621352840822</v>
      </c>
    </row>
    <row r="746" spans="1:18" x14ac:dyDescent="0.25">
      <c r="A746" s="1">
        <v>45943</v>
      </c>
      <c r="B746" s="2" t="s">
        <v>33</v>
      </c>
      <c r="C746" s="2" t="s">
        <v>34</v>
      </c>
      <c r="D746" s="2" t="s">
        <v>35</v>
      </c>
      <c r="E746" s="2" t="s">
        <v>41</v>
      </c>
      <c r="F746">
        <v>75257</v>
      </c>
      <c r="G746">
        <v>2399</v>
      </c>
      <c r="H746">
        <v>411</v>
      </c>
      <c r="I746">
        <v>199</v>
      </c>
      <c r="J746">
        <v>112</v>
      </c>
      <c r="K746">
        <v>34218.43</v>
      </c>
      <c r="L746">
        <v>450838.11</v>
      </c>
      <c r="M746" s="2" t="s">
        <v>21</v>
      </c>
      <c r="N746">
        <v>3.1877433328461136</v>
      </c>
      <c r="O746">
        <v>14.263622342642767</v>
      </c>
      <c r="P746">
        <v>17.13213839099625</v>
      </c>
      <c r="Q746">
        <v>305.52169642857143</v>
      </c>
      <c r="R746">
        <v>13.175300853955017</v>
      </c>
    </row>
    <row r="747" spans="1:18" x14ac:dyDescent="0.25">
      <c r="A747" s="1">
        <v>45944</v>
      </c>
      <c r="B747" s="2" t="s">
        <v>33</v>
      </c>
      <c r="C747" s="2" t="s">
        <v>34</v>
      </c>
      <c r="D747" s="2" t="s">
        <v>35</v>
      </c>
      <c r="E747" s="2" t="s">
        <v>41</v>
      </c>
      <c r="F747">
        <v>198364</v>
      </c>
      <c r="G747">
        <v>13118</v>
      </c>
      <c r="H747">
        <v>1984</v>
      </c>
      <c r="I747">
        <v>1175</v>
      </c>
      <c r="J747">
        <v>480</v>
      </c>
      <c r="K747">
        <v>91490.04</v>
      </c>
      <c r="L747">
        <v>2452250.17</v>
      </c>
      <c r="M747" s="2" t="s">
        <v>19</v>
      </c>
      <c r="N747">
        <v>6.6130951180657771</v>
      </c>
      <c r="O747">
        <v>6.9743893886263146</v>
      </c>
      <c r="P747">
        <v>15.124256746455252</v>
      </c>
      <c r="Q747">
        <v>190.60424999999998</v>
      </c>
      <c r="R747">
        <v>26.803465929187485</v>
      </c>
    </row>
    <row r="748" spans="1:18" x14ac:dyDescent="0.25">
      <c r="A748" s="1">
        <v>45945</v>
      </c>
      <c r="B748" s="2" t="s">
        <v>33</v>
      </c>
      <c r="C748" s="2" t="s">
        <v>34</v>
      </c>
      <c r="D748" s="2" t="s">
        <v>35</v>
      </c>
      <c r="E748" s="2" t="s">
        <v>41</v>
      </c>
      <c r="F748">
        <v>295919</v>
      </c>
      <c r="G748">
        <v>17609</v>
      </c>
      <c r="H748">
        <v>3372</v>
      </c>
      <c r="I748">
        <v>1885</v>
      </c>
      <c r="J748">
        <v>798</v>
      </c>
      <c r="K748">
        <v>153865.01999999999</v>
      </c>
      <c r="L748">
        <v>5620586.3600000003</v>
      </c>
      <c r="M748" s="2" t="s">
        <v>19</v>
      </c>
      <c r="N748">
        <v>5.9506148642027048</v>
      </c>
      <c r="O748">
        <v>8.737862456698279</v>
      </c>
      <c r="P748">
        <v>19.149298654097336</v>
      </c>
      <c r="Q748">
        <v>192.81330827067669</v>
      </c>
      <c r="R748">
        <v>36.529331748047738</v>
      </c>
    </row>
    <row r="749" spans="1:18" x14ac:dyDescent="0.25">
      <c r="A749" s="1">
        <v>45946</v>
      </c>
      <c r="B749" s="2" t="s">
        <v>33</v>
      </c>
      <c r="C749" s="2" t="s">
        <v>34</v>
      </c>
      <c r="D749" s="2" t="s">
        <v>35</v>
      </c>
      <c r="E749" s="2" t="s">
        <v>41</v>
      </c>
      <c r="F749">
        <v>219192</v>
      </c>
      <c r="G749">
        <v>9561</v>
      </c>
      <c r="H749">
        <v>2253</v>
      </c>
      <c r="I749">
        <v>1253</v>
      </c>
      <c r="J749">
        <v>681</v>
      </c>
      <c r="K749">
        <v>111858.16</v>
      </c>
      <c r="L749">
        <v>2520660.98</v>
      </c>
      <c r="M749" s="2" t="s">
        <v>21</v>
      </c>
      <c r="N749">
        <v>4.3619292674915142</v>
      </c>
      <c r="O749">
        <v>11.699420562702647</v>
      </c>
      <c r="P749">
        <v>23.564480702855349</v>
      </c>
      <c r="Q749">
        <v>164.2557415565345</v>
      </c>
      <c r="R749">
        <v>22.534439865629828</v>
      </c>
    </row>
    <row r="750" spans="1:18" x14ac:dyDescent="0.25">
      <c r="A750" s="1">
        <v>45947</v>
      </c>
      <c r="B750" s="2" t="s">
        <v>33</v>
      </c>
      <c r="C750" s="2" t="s">
        <v>34</v>
      </c>
      <c r="D750" s="2" t="s">
        <v>35</v>
      </c>
      <c r="E750" s="2" t="s">
        <v>41</v>
      </c>
      <c r="F750">
        <v>274932</v>
      </c>
      <c r="G750">
        <v>19134</v>
      </c>
      <c r="H750">
        <v>4243</v>
      </c>
      <c r="I750">
        <v>2579</v>
      </c>
      <c r="J750">
        <v>1097</v>
      </c>
      <c r="K750">
        <v>235450.39</v>
      </c>
      <c r="L750">
        <v>5481451.6699999999</v>
      </c>
      <c r="M750" s="2" t="s">
        <v>20</v>
      </c>
      <c r="N750">
        <v>6.9595390860285447</v>
      </c>
      <c r="O750">
        <v>12.305340754677538</v>
      </c>
      <c r="P750">
        <v>22.175185533605102</v>
      </c>
      <c r="Q750">
        <v>214.63116681859617</v>
      </c>
      <c r="R750">
        <v>23.28070754098135</v>
      </c>
    </row>
    <row r="751" spans="1:18" x14ac:dyDescent="0.25">
      <c r="A751" s="1">
        <v>45948</v>
      </c>
      <c r="B751" s="2" t="s">
        <v>33</v>
      </c>
      <c r="C751" s="2" t="s">
        <v>34</v>
      </c>
      <c r="D751" s="2" t="s">
        <v>35</v>
      </c>
      <c r="E751" s="2" t="s">
        <v>41</v>
      </c>
      <c r="F751">
        <v>73891</v>
      </c>
      <c r="G751">
        <v>5322</v>
      </c>
      <c r="H751">
        <v>940</v>
      </c>
      <c r="I751">
        <v>560</v>
      </c>
      <c r="J751">
        <v>325</v>
      </c>
      <c r="K751">
        <v>30551.39</v>
      </c>
      <c r="L751">
        <v>1890046.69</v>
      </c>
      <c r="M751" s="2" t="s">
        <v>21</v>
      </c>
      <c r="N751">
        <v>7.2025009811749738</v>
      </c>
      <c r="O751">
        <v>5.7405843667794061</v>
      </c>
      <c r="P751">
        <v>17.662532882375046</v>
      </c>
      <c r="Q751">
        <v>94.004276923076915</v>
      </c>
      <c r="R751">
        <v>61.864507310469342</v>
      </c>
    </row>
    <row r="752" spans="1:18" x14ac:dyDescent="0.25">
      <c r="A752" s="1">
        <v>45949</v>
      </c>
      <c r="B752" s="2" t="s">
        <v>33</v>
      </c>
      <c r="C752" s="2" t="s">
        <v>34</v>
      </c>
      <c r="D752" s="2" t="s">
        <v>35</v>
      </c>
      <c r="E752" s="2" t="s">
        <v>41</v>
      </c>
      <c r="F752">
        <v>78968</v>
      </c>
      <c r="G752">
        <v>2541</v>
      </c>
      <c r="H752">
        <v>471</v>
      </c>
      <c r="I752">
        <v>249</v>
      </c>
      <c r="J752">
        <v>121</v>
      </c>
      <c r="K752">
        <v>54841.39</v>
      </c>
      <c r="L752">
        <v>399316.55</v>
      </c>
      <c r="M752" s="2" t="s">
        <v>20</v>
      </c>
      <c r="N752">
        <v>3.2177590922905481</v>
      </c>
      <c r="O752">
        <v>21.582601338055884</v>
      </c>
      <c r="P752">
        <v>18.536009445100355</v>
      </c>
      <c r="Q752">
        <v>453.23462809917356</v>
      </c>
      <c r="R752">
        <v>7.2812988511049772</v>
      </c>
    </row>
    <row r="753" spans="1:18" x14ac:dyDescent="0.25">
      <c r="A753" s="1">
        <v>45950</v>
      </c>
      <c r="B753" s="2" t="s">
        <v>33</v>
      </c>
      <c r="C753" s="2" t="s">
        <v>34</v>
      </c>
      <c r="D753" s="2" t="s">
        <v>35</v>
      </c>
      <c r="E753" s="2" t="s">
        <v>41</v>
      </c>
      <c r="F753">
        <v>260789</v>
      </c>
      <c r="G753">
        <v>14483</v>
      </c>
      <c r="H753">
        <v>2729</v>
      </c>
      <c r="I753">
        <v>1300</v>
      </c>
      <c r="J753">
        <v>685</v>
      </c>
      <c r="K753">
        <v>217576.56</v>
      </c>
      <c r="L753">
        <v>2824586.55</v>
      </c>
      <c r="M753" s="2" t="s">
        <v>19</v>
      </c>
      <c r="N753">
        <v>5.5535317823987977</v>
      </c>
      <c r="O753">
        <v>15.022893047020645</v>
      </c>
      <c r="P753">
        <v>18.842781191742041</v>
      </c>
      <c r="Q753">
        <v>317.63001459854013</v>
      </c>
      <c r="R753">
        <v>12.98203515121298</v>
      </c>
    </row>
    <row r="754" spans="1:18" x14ac:dyDescent="0.25">
      <c r="A754" s="1">
        <v>45951</v>
      </c>
      <c r="B754" s="2" t="s">
        <v>33</v>
      </c>
      <c r="C754" s="2" t="s">
        <v>34</v>
      </c>
      <c r="D754" s="2" t="s">
        <v>35</v>
      </c>
      <c r="E754" s="2" t="s">
        <v>41</v>
      </c>
      <c r="F754">
        <v>134380</v>
      </c>
      <c r="G754">
        <v>6252</v>
      </c>
      <c r="H754">
        <v>1300</v>
      </c>
      <c r="I754">
        <v>685</v>
      </c>
      <c r="J754">
        <v>354</v>
      </c>
      <c r="K754">
        <v>132525.26</v>
      </c>
      <c r="L754">
        <v>2665107.4900000002</v>
      </c>
      <c r="M754" s="2" t="s">
        <v>23</v>
      </c>
      <c r="N754">
        <v>4.6524780473284713</v>
      </c>
      <c r="O754">
        <v>21.197258477287271</v>
      </c>
      <c r="P754">
        <v>20.793346129238643</v>
      </c>
      <c r="Q754">
        <v>374.36514124293785</v>
      </c>
      <c r="R754">
        <v>20.110184956437738</v>
      </c>
    </row>
    <row r="755" spans="1:18" x14ac:dyDescent="0.25">
      <c r="A755" s="1">
        <v>45952</v>
      </c>
      <c r="B755" s="2" t="s">
        <v>33</v>
      </c>
      <c r="C755" s="2" t="s">
        <v>34</v>
      </c>
      <c r="D755" s="2" t="s">
        <v>35</v>
      </c>
      <c r="E755" s="2" t="s">
        <v>41</v>
      </c>
      <c r="F755">
        <v>287916</v>
      </c>
      <c r="G755">
        <v>10349</v>
      </c>
      <c r="H755">
        <v>1738</v>
      </c>
      <c r="I755">
        <v>838</v>
      </c>
      <c r="J755">
        <v>398</v>
      </c>
      <c r="K755">
        <v>115613.02</v>
      </c>
      <c r="L755">
        <v>1867784.24</v>
      </c>
      <c r="M755" s="2" t="s">
        <v>22</v>
      </c>
      <c r="N755">
        <v>3.5944511593659261</v>
      </c>
      <c r="O755">
        <v>11.171419460817472</v>
      </c>
      <c r="P755">
        <v>16.793893129770993</v>
      </c>
      <c r="Q755">
        <v>290.48497487437186</v>
      </c>
      <c r="R755">
        <v>16.155483525990412</v>
      </c>
    </row>
    <row r="756" spans="1:18" x14ac:dyDescent="0.25">
      <c r="A756" s="1">
        <v>45953</v>
      </c>
      <c r="B756" s="2" t="s">
        <v>33</v>
      </c>
      <c r="C756" s="2" t="s">
        <v>34</v>
      </c>
      <c r="D756" s="2" t="s">
        <v>35</v>
      </c>
      <c r="E756" s="2" t="s">
        <v>41</v>
      </c>
      <c r="F756">
        <v>216575</v>
      </c>
      <c r="G756">
        <v>12444</v>
      </c>
      <c r="H756">
        <v>2477</v>
      </c>
      <c r="I756">
        <v>1587</v>
      </c>
      <c r="J756">
        <v>674</v>
      </c>
      <c r="K756">
        <v>147196.81</v>
      </c>
      <c r="L756">
        <v>4576963.63</v>
      </c>
      <c r="M756" s="2" t="s">
        <v>21</v>
      </c>
      <c r="N756">
        <v>5.7458155373427218</v>
      </c>
      <c r="O756">
        <v>11.828737544198006</v>
      </c>
      <c r="P756">
        <v>19.905175184828032</v>
      </c>
      <c r="Q756">
        <v>218.39289317507419</v>
      </c>
      <c r="R756">
        <v>31.09417676918406</v>
      </c>
    </row>
    <row r="757" spans="1:18" x14ac:dyDescent="0.25">
      <c r="A757" s="1">
        <v>45954</v>
      </c>
      <c r="B757" s="2" t="s">
        <v>33</v>
      </c>
      <c r="C757" s="2" t="s">
        <v>34</v>
      </c>
      <c r="D757" s="2" t="s">
        <v>35</v>
      </c>
      <c r="E757" s="2" t="s">
        <v>41</v>
      </c>
      <c r="F757">
        <v>71172</v>
      </c>
      <c r="G757">
        <v>4222</v>
      </c>
      <c r="H757">
        <v>908</v>
      </c>
      <c r="I757">
        <v>490</v>
      </c>
      <c r="J757">
        <v>236</v>
      </c>
      <c r="K757">
        <v>46274.85</v>
      </c>
      <c r="L757">
        <v>1760206.67</v>
      </c>
      <c r="M757" s="2" t="s">
        <v>20</v>
      </c>
      <c r="N757">
        <v>5.9321081324116225</v>
      </c>
      <c r="O757">
        <v>10.960409758408337</v>
      </c>
      <c r="P757">
        <v>21.506395073424915</v>
      </c>
      <c r="Q757">
        <v>196.07987288135593</v>
      </c>
      <c r="R757">
        <v>38.038084834418697</v>
      </c>
    </row>
    <row r="758" spans="1:18" x14ac:dyDescent="0.25">
      <c r="A758" s="1">
        <v>45955</v>
      </c>
      <c r="B758" s="2" t="s">
        <v>33</v>
      </c>
      <c r="C758" s="2" t="s">
        <v>34</v>
      </c>
      <c r="D758" s="2" t="s">
        <v>35</v>
      </c>
      <c r="E758" s="2" t="s">
        <v>41</v>
      </c>
      <c r="F758">
        <v>198682</v>
      </c>
      <c r="G758">
        <v>8609</v>
      </c>
      <c r="H758">
        <v>1832</v>
      </c>
      <c r="I758">
        <v>1094</v>
      </c>
      <c r="J758">
        <v>574</v>
      </c>
      <c r="K758">
        <v>80603.11</v>
      </c>
      <c r="L758">
        <v>1777848.23</v>
      </c>
      <c r="M758" s="2" t="s">
        <v>23</v>
      </c>
      <c r="N758">
        <v>4.3330548313385213</v>
      </c>
      <c r="O758">
        <v>9.3626565222441638</v>
      </c>
      <c r="P758">
        <v>21.2800557556046</v>
      </c>
      <c r="Q758">
        <v>140.42353658536587</v>
      </c>
      <c r="R758">
        <v>22.056819271613712</v>
      </c>
    </row>
    <row r="759" spans="1:18" x14ac:dyDescent="0.25">
      <c r="A759" s="1">
        <v>45956</v>
      </c>
      <c r="B759" s="2" t="s">
        <v>33</v>
      </c>
      <c r="C759" s="2" t="s">
        <v>34</v>
      </c>
      <c r="D759" s="2" t="s">
        <v>35</v>
      </c>
      <c r="E759" s="2" t="s">
        <v>41</v>
      </c>
      <c r="F759">
        <v>87021</v>
      </c>
      <c r="G759">
        <v>6502</v>
      </c>
      <c r="H759">
        <v>1617</v>
      </c>
      <c r="I759">
        <v>998</v>
      </c>
      <c r="J759">
        <v>494</v>
      </c>
      <c r="K759">
        <v>46482.66</v>
      </c>
      <c r="L759">
        <v>2244803.69</v>
      </c>
      <c r="M759" s="2" t="s">
        <v>22</v>
      </c>
      <c r="N759">
        <v>7.4717596901897245</v>
      </c>
      <c r="O759">
        <v>7.1489787757613046</v>
      </c>
      <c r="P759">
        <v>24.86927099354045</v>
      </c>
      <c r="Q759">
        <v>94.094453441295556</v>
      </c>
      <c r="R759">
        <v>48.293356920623729</v>
      </c>
    </row>
    <row r="760" spans="1:18" x14ac:dyDescent="0.25">
      <c r="A760" s="1">
        <v>45957</v>
      </c>
      <c r="B760" s="2" t="s">
        <v>33</v>
      </c>
      <c r="C760" s="2" t="s">
        <v>34</v>
      </c>
      <c r="D760" s="2" t="s">
        <v>35</v>
      </c>
      <c r="E760" s="2" t="s">
        <v>41</v>
      </c>
      <c r="F760">
        <v>277676</v>
      </c>
      <c r="G760">
        <v>18342</v>
      </c>
      <c r="H760">
        <v>3757</v>
      </c>
      <c r="I760">
        <v>2032</v>
      </c>
      <c r="J760">
        <v>1017</v>
      </c>
      <c r="K760">
        <v>242232.32000000001</v>
      </c>
      <c r="L760">
        <v>5399981.2699999996</v>
      </c>
      <c r="M760" s="2" t="s">
        <v>23</v>
      </c>
      <c r="N760">
        <v>6.6055402699549113</v>
      </c>
      <c r="O760">
        <v>13.206428960854868</v>
      </c>
      <c r="P760">
        <v>20.483044379020825</v>
      </c>
      <c r="Q760">
        <v>238.18320550639135</v>
      </c>
      <c r="R760">
        <v>22.292571321613892</v>
      </c>
    </row>
    <row r="761" spans="1:18" x14ac:dyDescent="0.25">
      <c r="A761" s="1">
        <v>45958</v>
      </c>
      <c r="B761" s="2" t="s">
        <v>33</v>
      </c>
      <c r="C761" s="2" t="s">
        <v>34</v>
      </c>
      <c r="D761" s="2" t="s">
        <v>35</v>
      </c>
      <c r="E761" s="2" t="s">
        <v>41</v>
      </c>
      <c r="F761">
        <v>132019</v>
      </c>
      <c r="G761">
        <v>9429</v>
      </c>
      <c r="H761">
        <v>2004</v>
      </c>
      <c r="I761">
        <v>1029</v>
      </c>
      <c r="J761">
        <v>542</v>
      </c>
      <c r="K761">
        <v>129503.53</v>
      </c>
      <c r="L761">
        <v>3403497</v>
      </c>
      <c r="M761" s="2" t="s">
        <v>19</v>
      </c>
      <c r="N761">
        <v>7.1421537808951747</v>
      </c>
      <c r="O761">
        <v>13.734598578852477</v>
      </c>
      <c r="P761">
        <v>21.25357938275533</v>
      </c>
      <c r="Q761">
        <v>238.93640221402214</v>
      </c>
      <c r="R761">
        <v>26.281113727170219</v>
      </c>
    </row>
    <row r="762" spans="1:18" x14ac:dyDescent="0.25">
      <c r="A762" s="1">
        <v>45959</v>
      </c>
      <c r="B762" s="2" t="s">
        <v>33</v>
      </c>
      <c r="C762" s="2" t="s">
        <v>34</v>
      </c>
      <c r="D762" s="2" t="s">
        <v>35</v>
      </c>
      <c r="E762" s="2" t="s">
        <v>41</v>
      </c>
      <c r="F762">
        <v>89527</v>
      </c>
      <c r="G762">
        <v>5616</v>
      </c>
      <c r="H762">
        <v>865</v>
      </c>
      <c r="I762">
        <v>507</v>
      </c>
      <c r="J762">
        <v>215</v>
      </c>
      <c r="K762">
        <v>79011.86</v>
      </c>
      <c r="L762">
        <v>1224216.24</v>
      </c>
      <c r="M762" s="2" t="s">
        <v>19</v>
      </c>
      <c r="N762">
        <v>6.2729679314620173</v>
      </c>
      <c r="O762">
        <v>14.06906339031339</v>
      </c>
      <c r="P762">
        <v>15.402421652421653</v>
      </c>
      <c r="Q762">
        <v>367.49702325581393</v>
      </c>
      <c r="R762">
        <v>15.494082027685463</v>
      </c>
    </row>
    <row r="763" spans="1:18" x14ac:dyDescent="0.25">
      <c r="A763" s="1">
        <v>45960</v>
      </c>
      <c r="B763" s="2" t="s">
        <v>33</v>
      </c>
      <c r="C763" s="2" t="s">
        <v>34</v>
      </c>
      <c r="D763" s="2" t="s">
        <v>35</v>
      </c>
      <c r="E763" s="2" t="s">
        <v>41</v>
      </c>
      <c r="F763">
        <v>232419</v>
      </c>
      <c r="G763">
        <v>17670</v>
      </c>
      <c r="H763">
        <v>3031</v>
      </c>
      <c r="I763">
        <v>1638</v>
      </c>
      <c r="J763">
        <v>975</v>
      </c>
      <c r="K763">
        <v>200506.15</v>
      </c>
      <c r="L763">
        <v>7007981.2999999998</v>
      </c>
      <c r="M763" s="2" t="s">
        <v>21</v>
      </c>
      <c r="N763">
        <v>7.6026486646960878</v>
      </c>
      <c r="O763">
        <v>11.347263723825693</v>
      </c>
      <c r="P763">
        <v>17.153367289190719</v>
      </c>
      <c r="Q763">
        <v>205.64733333333334</v>
      </c>
      <c r="R763">
        <v>34.951453110041761</v>
      </c>
    </row>
    <row r="764" spans="1:18" x14ac:dyDescent="0.25">
      <c r="A764" s="1">
        <v>45961</v>
      </c>
      <c r="B764" s="2" t="s">
        <v>33</v>
      </c>
      <c r="C764" s="2" t="s">
        <v>34</v>
      </c>
      <c r="D764" s="2" t="s">
        <v>35</v>
      </c>
      <c r="E764" s="2" t="s">
        <v>41</v>
      </c>
      <c r="F764">
        <v>267804</v>
      </c>
      <c r="G764">
        <v>19472</v>
      </c>
      <c r="H764">
        <v>4863</v>
      </c>
      <c r="I764">
        <v>2431</v>
      </c>
      <c r="J764">
        <v>1100</v>
      </c>
      <c r="K764">
        <v>251059.32</v>
      </c>
      <c r="L764">
        <v>6675311.6799999997</v>
      </c>
      <c r="M764" s="2" t="s">
        <v>22</v>
      </c>
      <c r="N764">
        <v>7.2709892309300832</v>
      </c>
      <c r="O764">
        <v>12.893350451930978</v>
      </c>
      <c r="P764">
        <v>24.974322103533279</v>
      </c>
      <c r="Q764">
        <v>228.23574545454545</v>
      </c>
      <c r="R764">
        <v>26.588583447131139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FB94ED-E241-4AB7-AAC1-B4FD481DC3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Pivot_Platform_Revenue</vt:lpstr>
      <vt:lpstr>Pivot_Campaign_Revenue</vt:lpstr>
      <vt:lpstr>Executive_Dashboard</vt:lpstr>
      <vt:lpstr>Pivot_ROAS_Platform</vt:lpstr>
      <vt:lpstr>Pivot_Region_Revenue</vt:lpstr>
      <vt:lpstr>Revenue_By_Target_Audience</vt:lpstr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2026-09-01T07:21:26Z</dcterms:created>
  <dcterms:modified xsi:type="dcterms:W3CDTF">2026-09-01T18:00:10Z</dcterms:modified>
</cp:coreProperties>
</file>